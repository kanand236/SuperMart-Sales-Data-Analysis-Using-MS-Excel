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32" yWindow="600" windowWidth="22716" windowHeight="10788" firstSheet="4" activeTab="10"/>
  </bookViews>
  <sheets>
    <sheet name="Sales By Region" sheetId="6" r:id="rId1"/>
    <sheet name="Monthly Sales Trend" sheetId="7" r:id="rId2"/>
    <sheet name="Top 5 Product By profit" sheetId="8" r:id="rId3"/>
    <sheet name="Sales Person Performance" sheetId="9" r:id="rId4"/>
    <sheet name="Category Wise Profit &amp; Discount" sheetId="10" r:id="rId5"/>
    <sheet name="Raw_Data" sheetId="1" r:id="rId6"/>
    <sheet name="Product_Master" sheetId="2" r:id="rId7"/>
    <sheet name="Targets" sheetId="3" r:id="rId8"/>
    <sheet name="Formula_Guide" sheetId="4" r:id="rId9"/>
    <sheet name="Analysis" sheetId="5" r:id="rId10"/>
    <sheet name="Dashboard" sheetId="11" r:id="rId11"/>
  </sheets>
  <definedNames>
    <definedName name="Slicer_MonthName">#N/A</definedName>
    <definedName name="Slicer_Region">#N/A</definedName>
    <definedName name="Slicer_Salesperson">#N/A</definedName>
  </definedNames>
  <calcPr calcId="144525"/>
  <pivotCaches>
    <pivotCache cacheId="7"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E3" i="3" l="1"/>
  <c r="D3" i="3"/>
  <c r="C3" i="3"/>
  <c r="B3" i="3"/>
  <c r="F2" i="5"/>
  <c r="E2" i="5"/>
  <c r="D2" i="5"/>
  <c r="C2" i="5"/>
  <c r="B2" i="5"/>
  <c r="A2" i="5"/>
  <c r="C13" i="5"/>
  <c r="C8" i="5"/>
  <c r="O512" i="1"/>
  <c r="I505"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C14" i="4"/>
  <c r="C13" i="4"/>
  <c r="C12" i="4"/>
  <c r="C11" i="4"/>
  <c r="C9" i="4"/>
  <c r="C8" i="4"/>
  <c r="C7" i="4"/>
  <c r="C6" i="4"/>
  <c r="C5" i="4"/>
  <c r="C4" i="4"/>
  <c r="C3" i="4"/>
  <c r="C2" i="4"/>
  <c r="C10" i="4" l="1"/>
</calcChain>
</file>

<file path=xl/sharedStrings.xml><?xml version="1.0" encoding="utf-8"?>
<sst xmlns="http://schemas.openxmlformats.org/spreadsheetml/2006/main" count="4304" uniqueCount="941">
  <si>
    <t>Order ID</t>
  </si>
  <si>
    <t>Date</t>
  </si>
  <si>
    <t>Customer Name</t>
  </si>
  <si>
    <t>Product Category</t>
  </si>
  <si>
    <t>Sub-Category</t>
  </si>
  <si>
    <t>Product Name</t>
  </si>
  <si>
    <t>Salesperson</t>
  </si>
  <si>
    <t>Region</t>
  </si>
  <si>
    <t>Quantity</t>
  </si>
  <si>
    <t>Unit Price</t>
  </si>
  <si>
    <t>Discount</t>
  </si>
  <si>
    <t>Total Sales</t>
  </si>
  <si>
    <t>Cost</t>
  </si>
  <si>
    <t>Profit</t>
  </si>
  <si>
    <t>O-1001</t>
  </si>
  <si>
    <t>14-Apr-2025</t>
  </si>
  <si>
    <t>Aman Tiwari</t>
  </si>
  <si>
    <t>Appliances</t>
  </si>
  <si>
    <t>Washing Machine</t>
  </si>
  <si>
    <t>Bosch 7kg</t>
  </si>
  <si>
    <t>Riya Gupta</t>
  </si>
  <si>
    <t>South</t>
  </si>
  <si>
    <t>O-1002</t>
  </si>
  <si>
    <t>09-Jun-2025</t>
  </si>
  <si>
    <t>Pooja Jain</t>
  </si>
  <si>
    <t>Furniture</t>
  </si>
  <si>
    <t>Table</t>
  </si>
  <si>
    <t>Study Table</t>
  </si>
  <si>
    <t>Aman Singh</t>
  </si>
  <si>
    <t>North</t>
  </si>
  <si>
    <t>O-1003</t>
  </si>
  <si>
    <t>12-Apr-2025</t>
  </si>
  <si>
    <t>Kiran Singh</t>
  </si>
  <si>
    <t>Simran Kaur</t>
  </si>
  <si>
    <t>West</t>
  </si>
  <si>
    <t>O-1004</t>
  </si>
  <si>
    <t>04-Feb-2025</t>
  </si>
  <si>
    <t>Ravi Patel</t>
  </si>
  <si>
    <t>Microwave</t>
  </si>
  <si>
    <t>IFB 20L</t>
  </si>
  <si>
    <t>Rohan Das</t>
  </si>
  <si>
    <t>O-1005</t>
  </si>
  <si>
    <t>22-Sep-2025</t>
  </si>
  <si>
    <t>Bookshelf</t>
  </si>
  <si>
    <t>Metal Rack</t>
  </si>
  <si>
    <t>Neha Joshi</t>
  </si>
  <si>
    <t>O-1006</t>
  </si>
  <si>
    <t>30-Jun-2025</t>
  </si>
  <si>
    <t>Refrigerator</t>
  </si>
  <si>
    <t>LG Double Door</t>
  </si>
  <si>
    <t>O-1007</t>
  </si>
  <si>
    <t>29-Jan-2025</t>
  </si>
  <si>
    <t>Deepak Chauhan</t>
  </si>
  <si>
    <t>Clothing</t>
  </si>
  <si>
    <t>Jeans</t>
  </si>
  <si>
    <t>Slim Fit Jeans</t>
  </si>
  <si>
    <t>East</t>
  </si>
  <si>
    <t>O-1008</t>
  </si>
  <si>
    <t>14-Jan-2025</t>
  </si>
  <si>
    <t>Nikhil Joshi</t>
  </si>
  <si>
    <t>Electronics</t>
  </si>
  <si>
    <t>Mobile</t>
  </si>
  <si>
    <t>Samsung Galaxy A14</t>
  </si>
  <si>
    <t>O-1009</t>
  </si>
  <si>
    <t>04-May-2025</t>
  </si>
  <si>
    <t>Tablet</t>
  </si>
  <si>
    <t>iPad Air</t>
  </si>
  <si>
    <t>Kavita Rao</t>
  </si>
  <si>
    <t>O-1010</t>
  </si>
  <si>
    <t>11-Aug-2025</t>
  </si>
  <si>
    <t>Chair</t>
  </si>
  <si>
    <t>Mesh Chair</t>
  </si>
  <si>
    <t>O-1011</t>
  </si>
  <si>
    <t>17-Apr-2025</t>
  </si>
  <si>
    <t>Mixer</t>
  </si>
  <si>
    <t>Prestige Iris</t>
  </si>
  <si>
    <t>O-1012</t>
  </si>
  <si>
    <t>25-Mar-2025</t>
  </si>
  <si>
    <t>Regular Fit Jeans</t>
  </si>
  <si>
    <t>O-1013</t>
  </si>
  <si>
    <t>31-Mar-2025</t>
  </si>
  <si>
    <t>Sofa</t>
  </si>
  <si>
    <t>Recliner Sofa</t>
  </si>
  <si>
    <t>O-1014</t>
  </si>
  <si>
    <t>03-Sep-2025</t>
  </si>
  <si>
    <t>Meena Verma</t>
  </si>
  <si>
    <t>LG Top Load</t>
  </si>
  <si>
    <t>O-1015</t>
  </si>
  <si>
    <t>02-Jul-2025</t>
  </si>
  <si>
    <t>Suman Rao</t>
  </si>
  <si>
    <t>Realme Pad</t>
  </si>
  <si>
    <t>O-1016</t>
  </si>
  <si>
    <t>29-Mar-2025</t>
  </si>
  <si>
    <t>3-Seater Sofa</t>
  </si>
  <si>
    <t>O-1017</t>
  </si>
  <si>
    <t>08-Oct-2025</t>
  </si>
  <si>
    <t>LG 28L</t>
  </si>
  <si>
    <t>O-1018</t>
  </si>
  <si>
    <t>Raj Sharma</t>
  </si>
  <si>
    <t>Dining Table</t>
  </si>
  <si>
    <t>O-1019</t>
  </si>
  <si>
    <t>19-Jul-2025</t>
  </si>
  <si>
    <t>Headphones</t>
  </si>
  <si>
    <t>JBL Tune 760NC</t>
  </si>
  <si>
    <t>O-1020</t>
  </si>
  <si>
    <t>30-Apr-2025</t>
  </si>
  <si>
    <t>Laptop</t>
  </si>
  <si>
    <t>Asus Vivobook</t>
  </si>
  <si>
    <t>Ankit Mehra</t>
  </si>
  <si>
    <t>O-1021</t>
  </si>
  <si>
    <t>04-Oct-2025</t>
  </si>
  <si>
    <t>O-1022</t>
  </si>
  <si>
    <t>11-May-2025</t>
  </si>
  <si>
    <t>Tanya Kapoor</t>
  </si>
  <si>
    <t>Samsung 23L</t>
  </si>
  <si>
    <t>O-1023</t>
  </si>
  <si>
    <t>Stretch Jeans</t>
  </si>
  <si>
    <t>O-1024</t>
  </si>
  <si>
    <t>12-Oct-2025</t>
  </si>
  <si>
    <t>Vikas Patel</t>
  </si>
  <si>
    <t>O-1025</t>
  </si>
  <si>
    <t>29-Sep-2025</t>
  </si>
  <si>
    <t>O-1026</t>
  </si>
  <si>
    <t>17-Jul-2025</t>
  </si>
  <si>
    <t>Glass Bookshelf</t>
  </si>
  <si>
    <t>O-1027</t>
  </si>
  <si>
    <t>27-Jul-2025</t>
  </si>
  <si>
    <t>Shirt</t>
  </si>
  <si>
    <t>Formal Shirt</t>
  </si>
  <si>
    <t>O-1028</t>
  </si>
  <si>
    <t>01-Aug-2025</t>
  </si>
  <si>
    <t>Casual Shirt</t>
  </si>
  <si>
    <t>O-1029</t>
  </si>
  <si>
    <t>06-Jun-2025</t>
  </si>
  <si>
    <t>Lenovo Tab M10</t>
  </si>
  <si>
    <t>O-1030</t>
  </si>
  <si>
    <t>21-Oct-2025</t>
  </si>
  <si>
    <t>Denim Shirt</t>
  </si>
  <si>
    <t>O-1031</t>
  </si>
  <si>
    <t>03-Mar-2025</t>
  </si>
  <si>
    <t>Jacket</t>
  </si>
  <si>
    <t>Leather Jacket</t>
  </si>
  <si>
    <t>O-1032</t>
  </si>
  <si>
    <t>25-May-2025</t>
  </si>
  <si>
    <t>O-1033</t>
  </si>
  <si>
    <t>12-Sep-2025</t>
  </si>
  <si>
    <t>O-1034</t>
  </si>
  <si>
    <t>26-Aug-2025</t>
  </si>
  <si>
    <t>Dress</t>
  </si>
  <si>
    <t>Casual Dress</t>
  </si>
  <si>
    <t>O-1035</t>
  </si>
  <si>
    <t>26-Jan-2025</t>
  </si>
  <si>
    <t>O-1036</t>
  </si>
  <si>
    <t>24-May-2025</t>
  </si>
  <si>
    <t>Redmi Note 12</t>
  </si>
  <si>
    <t>O-1037</t>
  </si>
  <si>
    <t>04-Jun-2025</t>
  </si>
  <si>
    <t>O-1038</t>
  </si>
  <si>
    <t>08-Apr-2025</t>
  </si>
  <si>
    <t>Wooden Bookshelf</t>
  </si>
  <si>
    <t>O-1039</t>
  </si>
  <si>
    <t>19-Mar-2025</t>
  </si>
  <si>
    <t>Whirlpool 190L</t>
  </si>
  <si>
    <t>O-1040</t>
  </si>
  <si>
    <t>24-Apr-2025</t>
  </si>
  <si>
    <t>Winter Coat</t>
  </si>
  <si>
    <t>O-1041</t>
  </si>
  <si>
    <t>03-Apr-2025</t>
  </si>
  <si>
    <t>O-1042</t>
  </si>
  <si>
    <t>10-May-2025</t>
  </si>
  <si>
    <t>O-1043</t>
  </si>
  <si>
    <t>18-Apr-2025</t>
  </si>
  <si>
    <t>Godrej 210L</t>
  </si>
  <si>
    <t>O-1044</t>
  </si>
  <si>
    <t>Lenovo IdeaPad</t>
  </si>
  <si>
    <t>O-1045</t>
  </si>
  <si>
    <t>17-Oct-2025</t>
  </si>
  <si>
    <t>O-1046</t>
  </si>
  <si>
    <t>21-Jul-2025</t>
  </si>
  <si>
    <t>Computer Table</t>
  </si>
  <si>
    <t>O-1047</t>
  </si>
  <si>
    <t>20-Jul-2025</t>
  </si>
  <si>
    <t>O-1048</t>
  </si>
  <si>
    <t>09-Aug-2025</t>
  </si>
  <si>
    <t>Sujata Dynamix</t>
  </si>
  <si>
    <t>O-1049</t>
  </si>
  <si>
    <t>07-Feb-2025</t>
  </si>
  <si>
    <t>Hooded Jacket</t>
  </si>
  <si>
    <t>O-1050</t>
  </si>
  <si>
    <t>05-Feb-2025</t>
  </si>
  <si>
    <t>Check Shirt</t>
  </si>
  <si>
    <t>O-1051</t>
  </si>
  <si>
    <t>O-1052</t>
  </si>
  <si>
    <t>25-Oct-2025</t>
  </si>
  <si>
    <t>O-1053</t>
  </si>
  <si>
    <t>Ergo Chair</t>
  </si>
  <si>
    <t>O-1054</t>
  </si>
  <si>
    <t>23-Sep-2025</t>
  </si>
  <si>
    <t>O-1055</t>
  </si>
  <si>
    <t>05-Mar-2025</t>
  </si>
  <si>
    <t>O-1056</t>
  </si>
  <si>
    <t>25-Aug-2025</t>
  </si>
  <si>
    <t>O-1057</t>
  </si>
  <si>
    <t>O-1058</t>
  </si>
  <si>
    <t>06-May-2025</t>
  </si>
  <si>
    <t>Panasonic 25L</t>
  </si>
  <si>
    <t>O-1059</t>
  </si>
  <si>
    <t>O-1060</t>
  </si>
  <si>
    <t>28-Jan-2025</t>
  </si>
  <si>
    <t>Dell Inspiron</t>
  </si>
  <si>
    <t>O-1061</t>
  </si>
  <si>
    <t>13-Feb-2025</t>
  </si>
  <si>
    <t>O-1062</t>
  </si>
  <si>
    <t>18-Jun-2025</t>
  </si>
  <si>
    <t>O-1063</t>
  </si>
  <si>
    <t>O-1064</t>
  </si>
  <si>
    <t>10-Sep-2025</t>
  </si>
  <si>
    <t>Denim Jacket</t>
  </si>
  <si>
    <t>O-1065</t>
  </si>
  <si>
    <t>06-Aug-2025</t>
  </si>
  <si>
    <t>Corner Bookshelf</t>
  </si>
  <si>
    <t>O-1066</t>
  </si>
  <si>
    <t>17-May-2025</t>
  </si>
  <si>
    <t>O-1067</t>
  </si>
  <si>
    <t>02-Jun-2025</t>
  </si>
  <si>
    <t>Tapered Jeans</t>
  </si>
  <si>
    <t>O-1068</t>
  </si>
  <si>
    <t>04-Aug-2025</t>
  </si>
  <si>
    <t>O-1069</t>
  </si>
  <si>
    <t>11-Mar-2025</t>
  </si>
  <si>
    <t>O-1070</t>
  </si>
  <si>
    <t>09-Jan-2025</t>
  </si>
  <si>
    <t>O-1071</t>
  </si>
  <si>
    <t>18-Feb-2025</t>
  </si>
  <si>
    <t>O-1072</t>
  </si>
  <si>
    <t>O-1073</t>
  </si>
  <si>
    <t>06-Oct-2025</t>
  </si>
  <si>
    <t>Samsung Tab S6</t>
  </si>
  <si>
    <t>O-1074</t>
  </si>
  <si>
    <t>10-Jun-2025</t>
  </si>
  <si>
    <t>O-1075</t>
  </si>
  <si>
    <t>27-Jun-2025</t>
  </si>
  <si>
    <t>Party Dress</t>
  </si>
  <si>
    <t>O-1076</t>
  </si>
  <si>
    <t>29-Aug-2025</t>
  </si>
  <si>
    <t>O-1077</t>
  </si>
  <si>
    <t>19-Oct-2025</t>
  </si>
  <si>
    <t>O-1078</t>
  </si>
  <si>
    <t>26-Jun-2025</t>
  </si>
  <si>
    <t>O-1079</t>
  </si>
  <si>
    <t>06-Sep-2025</t>
  </si>
  <si>
    <t>O-1080</t>
  </si>
  <si>
    <t>25-Jan-2025</t>
  </si>
  <si>
    <t>O-1081</t>
  </si>
  <si>
    <t>07-Jul-2025</t>
  </si>
  <si>
    <t>O-1082</t>
  </si>
  <si>
    <t>07-Sep-2025</t>
  </si>
  <si>
    <t>Executive Chair</t>
  </si>
  <si>
    <t>O-1083</t>
  </si>
  <si>
    <t>O-1084</t>
  </si>
  <si>
    <t>O-1085</t>
  </si>
  <si>
    <t>O-1086</t>
  </si>
  <si>
    <t>11-Jan-2025</t>
  </si>
  <si>
    <t>O-1087</t>
  </si>
  <si>
    <t>O-1088</t>
  </si>
  <si>
    <t>09-Feb-2025</t>
  </si>
  <si>
    <t>Samsung EcoBubble</t>
  </si>
  <si>
    <t>O-1089</t>
  </si>
  <si>
    <t>24-Aug-2025</t>
  </si>
  <si>
    <t>O-1090</t>
  </si>
  <si>
    <t>28-Oct-2025</t>
  </si>
  <si>
    <t>O-1091</t>
  </si>
  <si>
    <t>15-May-2025</t>
  </si>
  <si>
    <t>O-1092</t>
  </si>
  <si>
    <t>O-1093</t>
  </si>
  <si>
    <t>O-1094</t>
  </si>
  <si>
    <t>19-Apr-2025</t>
  </si>
  <si>
    <t>O-1095</t>
  </si>
  <si>
    <t>22-Jun-2025</t>
  </si>
  <si>
    <t>O-1096</t>
  </si>
  <si>
    <t>O-1097</t>
  </si>
  <si>
    <t>08-Sep-2025</t>
  </si>
  <si>
    <t>O-1098</t>
  </si>
  <si>
    <t>16-Jun-2025</t>
  </si>
  <si>
    <t>O-1099</t>
  </si>
  <si>
    <t>14-Jun-2025</t>
  </si>
  <si>
    <t>O-1100</t>
  </si>
  <si>
    <t>03-Jan-2025</t>
  </si>
  <si>
    <t>O-1101</t>
  </si>
  <si>
    <t>31-May-2025</t>
  </si>
  <si>
    <t>O-1102</t>
  </si>
  <si>
    <t>O-1103</t>
  </si>
  <si>
    <t>23-May-2025</t>
  </si>
  <si>
    <t>O-1104</t>
  </si>
  <si>
    <t>08-Feb-2025</t>
  </si>
  <si>
    <t>O-1105</t>
  </si>
  <si>
    <t>O-1106</t>
  </si>
  <si>
    <t>01-Jun-2025</t>
  </si>
  <si>
    <t>IFB Front Load</t>
  </si>
  <si>
    <t>O-1107</t>
  </si>
  <si>
    <t>03-May-2025</t>
  </si>
  <si>
    <t>O-1108</t>
  </si>
  <si>
    <t>04-Sep-2025</t>
  </si>
  <si>
    <t>Boat Rockerz 550</t>
  </si>
  <si>
    <t>O-1109</t>
  </si>
  <si>
    <t>09-Mar-2025</t>
  </si>
  <si>
    <t>O-1110</t>
  </si>
  <si>
    <t>24-Jan-2025</t>
  </si>
  <si>
    <t>O-1111</t>
  </si>
  <si>
    <t>02-Feb-2025</t>
  </si>
  <si>
    <t>iPhone 13</t>
  </si>
  <si>
    <t>O-1112</t>
  </si>
  <si>
    <t>O-1113</t>
  </si>
  <si>
    <t>O-1114</t>
  </si>
  <si>
    <t>O-1115</t>
  </si>
  <si>
    <t>11-Jul-2025</t>
  </si>
  <si>
    <t>O-1116</t>
  </si>
  <si>
    <t>01-Sep-2025</t>
  </si>
  <si>
    <t>O-1117</t>
  </si>
  <si>
    <t>27-Mar-2025</t>
  </si>
  <si>
    <t>Office Chair Pro</t>
  </si>
  <si>
    <t>O-1118</t>
  </si>
  <si>
    <t>O-1119</t>
  </si>
  <si>
    <t>17-Jan-2025</t>
  </si>
  <si>
    <t>O-1120</t>
  </si>
  <si>
    <t>24-Mar-2025</t>
  </si>
  <si>
    <t>O-1121</t>
  </si>
  <si>
    <t>O-1122</t>
  </si>
  <si>
    <t>20-Oct-2025</t>
  </si>
  <si>
    <t>O-1123</t>
  </si>
  <si>
    <t>03-Jul-2025</t>
  </si>
  <si>
    <t>O-1124</t>
  </si>
  <si>
    <t>25-Jul-2025</t>
  </si>
  <si>
    <t>O-1125</t>
  </si>
  <si>
    <t>O-1126</t>
  </si>
  <si>
    <t>30-Jan-2025</t>
  </si>
  <si>
    <t>O-1127</t>
  </si>
  <si>
    <t>O-1128</t>
  </si>
  <si>
    <t>18-Oct-2025</t>
  </si>
  <si>
    <t>O-1129</t>
  </si>
  <si>
    <t>O-1130</t>
  </si>
  <si>
    <t>21-Jan-2025</t>
  </si>
  <si>
    <t>O-1131</t>
  </si>
  <si>
    <t>09-Apr-2025</t>
  </si>
  <si>
    <t>O-1132</t>
  </si>
  <si>
    <t>21-Sep-2025</t>
  </si>
  <si>
    <t>O-1133</t>
  </si>
  <si>
    <t>07-Oct-2025</t>
  </si>
  <si>
    <t>Leather Sofa</t>
  </si>
  <si>
    <t>O-1134</t>
  </si>
  <si>
    <t>26-Sep-2025</t>
  </si>
  <si>
    <t>O-1135</t>
  </si>
  <si>
    <t>05-May-2025</t>
  </si>
  <si>
    <t>O-1136</t>
  </si>
  <si>
    <t>25-Apr-2025</t>
  </si>
  <si>
    <t>O-1137</t>
  </si>
  <si>
    <t>21-May-2025</t>
  </si>
  <si>
    <t>O-1138</t>
  </si>
  <si>
    <t>05-Sep-2025</t>
  </si>
  <si>
    <t>O-1139</t>
  </si>
  <si>
    <t>O-1140</t>
  </si>
  <si>
    <t>O-1141</t>
  </si>
  <si>
    <t>29-Jun-2025</t>
  </si>
  <si>
    <t>O-1142</t>
  </si>
  <si>
    <t>16-Sep-2025</t>
  </si>
  <si>
    <t>O-1143</t>
  </si>
  <si>
    <t>O-1144</t>
  </si>
  <si>
    <t>28-Feb-2025</t>
  </si>
  <si>
    <t>Bajaj Rex 500W</t>
  </si>
  <si>
    <t>O-1145</t>
  </si>
  <si>
    <t>20-Apr-2025</t>
  </si>
  <si>
    <t>O-1146</t>
  </si>
  <si>
    <t>11-Apr-2025</t>
  </si>
  <si>
    <t>O-1147</t>
  </si>
  <si>
    <t>30-Aug-2025</t>
  </si>
  <si>
    <t>O-1148</t>
  </si>
  <si>
    <t>O-1149</t>
  </si>
  <si>
    <t>L-Shaped Sofa</t>
  </si>
  <si>
    <t>O-1150</t>
  </si>
  <si>
    <t>16-Feb-2025</t>
  </si>
  <si>
    <t>O-1151</t>
  </si>
  <si>
    <t>O-1152</t>
  </si>
  <si>
    <t>10-Jan-2025</t>
  </si>
  <si>
    <t>O-1153</t>
  </si>
  <si>
    <t>07-Mar-2025</t>
  </si>
  <si>
    <t>O-1154</t>
  </si>
  <si>
    <t>O-1155</t>
  </si>
  <si>
    <t>23-Jun-2025</t>
  </si>
  <si>
    <t>O-1156</t>
  </si>
  <si>
    <t>Zebronics Zeb-Duke</t>
  </si>
  <si>
    <t>O-1157</t>
  </si>
  <si>
    <t>13-Oct-2025</t>
  </si>
  <si>
    <t>O-1158</t>
  </si>
  <si>
    <t>O-1159</t>
  </si>
  <si>
    <t>27-Oct-2025</t>
  </si>
  <si>
    <t>Realme Narzo 60</t>
  </si>
  <si>
    <t>O-1160</t>
  </si>
  <si>
    <t>19-Jun-2025</t>
  </si>
  <si>
    <t>O-1161</t>
  </si>
  <si>
    <t>05-Jul-2025</t>
  </si>
  <si>
    <t>O-1162</t>
  </si>
  <si>
    <t>O-1163</t>
  </si>
  <si>
    <t>06-Mar-2025</t>
  </si>
  <si>
    <t>O-1164</t>
  </si>
  <si>
    <t>30-Mar-2025</t>
  </si>
  <si>
    <t>O-1165</t>
  </si>
  <si>
    <t>O-1166</t>
  </si>
  <si>
    <t>12-Feb-2025</t>
  </si>
  <si>
    <t>O-1167</t>
  </si>
  <si>
    <t>O-1168</t>
  </si>
  <si>
    <t>06-Jul-2025</t>
  </si>
  <si>
    <t>O-1169</t>
  </si>
  <si>
    <t>O-1170</t>
  </si>
  <si>
    <t>01-May-2025</t>
  </si>
  <si>
    <t>O-1171</t>
  </si>
  <si>
    <t>O-1172</t>
  </si>
  <si>
    <t>03-Oct-2025</t>
  </si>
  <si>
    <t>O-1173</t>
  </si>
  <si>
    <t>24-Jul-2025</t>
  </si>
  <si>
    <t>O-1174</t>
  </si>
  <si>
    <t>26-Mar-2025</t>
  </si>
  <si>
    <t>O-1175</t>
  </si>
  <si>
    <t>Evening Gown</t>
  </si>
  <si>
    <t>O-1176</t>
  </si>
  <si>
    <t>15-Sep-2025</t>
  </si>
  <si>
    <t>O-1177</t>
  </si>
  <si>
    <t>03-Aug-2025</t>
  </si>
  <si>
    <t>O-1178</t>
  </si>
  <si>
    <t>O-1179</t>
  </si>
  <si>
    <t>08-Mar-2025</t>
  </si>
  <si>
    <t>O-1180</t>
  </si>
  <si>
    <t>27-Jan-2025</t>
  </si>
  <si>
    <t>O-1181</t>
  </si>
  <si>
    <t>08-Jun-2025</t>
  </si>
  <si>
    <t>O-1182</t>
  </si>
  <si>
    <t>12-Jan-2025</t>
  </si>
  <si>
    <t>O-1183</t>
  </si>
  <si>
    <t>O-1184</t>
  </si>
  <si>
    <t>O-1185</t>
  </si>
  <si>
    <t>19-Feb-2025</t>
  </si>
  <si>
    <t>O-1186</t>
  </si>
  <si>
    <t>HP Pavilion 15</t>
  </si>
  <si>
    <t>O-1187</t>
  </si>
  <si>
    <t>12-Aug-2025</t>
  </si>
  <si>
    <t>O-1188</t>
  </si>
  <si>
    <t>O-1189</t>
  </si>
  <si>
    <t>O-1190</t>
  </si>
  <si>
    <t>07-Jun-2025</t>
  </si>
  <si>
    <t>O-1191</t>
  </si>
  <si>
    <t>O-1192</t>
  </si>
  <si>
    <t>13-Apr-2025</t>
  </si>
  <si>
    <t>O-1193</t>
  </si>
  <si>
    <t>01-Mar-2025</t>
  </si>
  <si>
    <t>O-1194</t>
  </si>
  <si>
    <t>O-1195</t>
  </si>
  <si>
    <t>10-Feb-2025</t>
  </si>
  <si>
    <t>O-1196</t>
  </si>
  <si>
    <t>O-1197</t>
  </si>
  <si>
    <t>13-Jul-2025</t>
  </si>
  <si>
    <t>O-1198</t>
  </si>
  <si>
    <t>O-1199</t>
  </si>
  <si>
    <t>O-1200</t>
  </si>
  <si>
    <t>15-Jun-2025</t>
  </si>
  <si>
    <t>O-1201</t>
  </si>
  <si>
    <t>O-1202</t>
  </si>
  <si>
    <t>24-Jun-2025</t>
  </si>
  <si>
    <t>O-1203</t>
  </si>
  <si>
    <t>O-1204</t>
  </si>
  <si>
    <t>18-Jul-2025</t>
  </si>
  <si>
    <t>O-1205</t>
  </si>
  <si>
    <t>O-1206</t>
  </si>
  <si>
    <t>28-Aug-2025</t>
  </si>
  <si>
    <t>O-1207</t>
  </si>
  <si>
    <t>O-1208</t>
  </si>
  <si>
    <t>O-1209</t>
  </si>
  <si>
    <t>O-1210</t>
  </si>
  <si>
    <t>O-1211</t>
  </si>
  <si>
    <t>22-Feb-2025</t>
  </si>
  <si>
    <t>O-1212</t>
  </si>
  <si>
    <t>O-1213</t>
  </si>
  <si>
    <t>O-1214</t>
  </si>
  <si>
    <t>O-1215</t>
  </si>
  <si>
    <t>O-1216</t>
  </si>
  <si>
    <t>16-Aug-2025</t>
  </si>
  <si>
    <t>O-1217</t>
  </si>
  <si>
    <t>O-1218</t>
  </si>
  <si>
    <t>O-1219</t>
  </si>
  <si>
    <t>O-1220</t>
  </si>
  <si>
    <t>31-Jul-2025</t>
  </si>
  <si>
    <t>O-1221</t>
  </si>
  <si>
    <t>27-May-2025</t>
  </si>
  <si>
    <t>O-1222</t>
  </si>
  <si>
    <t>06-Jan-2025</t>
  </si>
  <si>
    <t>Sony WH-1000XM5</t>
  </si>
  <si>
    <t>O-1223</t>
  </si>
  <si>
    <t>14-Jul-2025</t>
  </si>
  <si>
    <t>O-1224</t>
  </si>
  <si>
    <t>O-1225</t>
  </si>
  <si>
    <t>O-1226</t>
  </si>
  <si>
    <t>O-1227</t>
  </si>
  <si>
    <t>O-1228</t>
  </si>
  <si>
    <t>O-1229</t>
  </si>
  <si>
    <t>O-1230</t>
  </si>
  <si>
    <t>14-Mar-2025</t>
  </si>
  <si>
    <t>O-1231</t>
  </si>
  <si>
    <t>O-1232</t>
  </si>
  <si>
    <t>O-1233</t>
  </si>
  <si>
    <t>O-1234</t>
  </si>
  <si>
    <t>02-Mar-2025</t>
  </si>
  <si>
    <t>O-1235</t>
  </si>
  <si>
    <t>O-1236</t>
  </si>
  <si>
    <t>09-Oct-2025</t>
  </si>
  <si>
    <t>O-1237</t>
  </si>
  <si>
    <t>O-1238</t>
  </si>
  <si>
    <t>O-1239</t>
  </si>
  <si>
    <t>29-May-2025</t>
  </si>
  <si>
    <t>O-1240</t>
  </si>
  <si>
    <t>O-1241</t>
  </si>
  <si>
    <t>O-1242</t>
  </si>
  <si>
    <t>22-May-2025</t>
  </si>
  <si>
    <t>O-1243</t>
  </si>
  <si>
    <t>18-Jan-2025</t>
  </si>
  <si>
    <t>O-1244</t>
  </si>
  <si>
    <t>17-Aug-2025</t>
  </si>
  <si>
    <t>O-1245</t>
  </si>
  <si>
    <t>23-Aug-2025</t>
  </si>
  <si>
    <t>O-1246</t>
  </si>
  <si>
    <t>12-Mar-2025</t>
  </si>
  <si>
    <t>O-1247</t>
  </si>
  <si>
    <t>O-1248</t>
  </si>
  <si>
    <t>O-1249</t>
  </si>
  <si>
    <t>23-Oct-2025</t>
  </si>
  <si>
    <t>O-1250</t>
  </si>
  <si>
    <t>O-1251</t>
  </si>
  <si>
    <t>Summer Dress</t>
  </si>
  <si>
    <t>O-1252</t>
  </si>
  <si>
    <t>06-Apr-2025</t>
  </si>
  <si>
    <t>O-1253</t>
  </si>
  <si>
    <t>O-1254</t>
  </si>
  <si>
    <t>Philips HL7756</t>
  </si>
  <si>
    <t>O-1255</t>
  </si>
  <si>
    <t>O-1256</t>
  </si>
  <si>
    <t>02-Aug-2025</t>
  </si>
  <si>
    <t>O-1257</t>
  </si>
  <si>
    <t>27-Apr-2025</t>
  </si>
  <si>
    <t>O-1258</t>
  </si>
  <si>
    <t>28-Jul-2025</t>
  </si>
  <si>
    <t>O-1259</t>
  </si>
  <si>
    <t>O-1260</t>
  </si>
  <si>
    <t>08-Jul-2025</t>
  </si>
  <si>
    <t>O-1261</t>
  </si>
  <si>
    <t>O-1262</t>
  </si>
  <si>
    <t>O-1263</t>
  </si>
  <si>
    <t>O-1264</t>
  </si>
  <si>
    <t>15-Feb-2025</t>
  </si>
  <si>
    <t>O-1265</t>
  </si>
  <si>
    <t>O-1266</t>
  </si>
  <si>
    <t>O-1267</t>
  </si>
  <si>
    <t>O-1268</t>
  </si>
  <si>
    <t>O-1269</t>
  </si>
  <si>
    <t>O-1270</t>
  </si>
  <si>
    <t>O-1271</t>
  </si>
  <si>
    <t>Coffee Table</t>
  </si>
  <si>
    <t>O-1272</t>
  </si>
  <si>
    <t>12-May-2025</t>
  </si>
  <si>
    <t>O-1273</t>
  </si>
  <si>
    <t>01-Jul-2025</t>
  </si>
  <si>
    <t>O-1274</t>
  </si>
  <si>
    <t>08-May-2025</t>
  </si>
  <si>
    <t>O-1275</t>
  </si>
  <si>
    <t>O-1276</t>
  </si>
  <si>
    <t>O-1277</t>
  </si>
  <si>
    <t>10-Apr-2025</t>
  </si>
  <si>
    <t>O-1278</t>
  </si>
  <si>
    <t>02-Sep-2025</t>
  </si>
  <si>
    <t>O-1279</t>
  </si>
  <si>
    <t>10-Mar-2025</t>
  </si>
  <si>
    <t>O-1280</t>
  </si>
  <si>
    <t>O-1281</t>
  </si>
  <si>
    <t>Samsung Frost Free</t>
  </si>
  <si>
    <t>O-1282</t>
  </si>
  <si>
    <t>O-1283</t>
  </si>
  <si>
    <t>O-1284</t>
  </si>
  <si>
    <t>26-Oct-2025</t>
  </si>
  <si>
    <t>O-1285</t>
  </si>
  <si>
    <t>19-Aug-2025</t>
  </si>
  <si>
    <t>O-1286</t>
  </si>
  <si>
    <t>O-1287</t>
  </si>
  <si>
    <t>O-1288</t>
  </si>
  <si>
    <t>O-1289</t>
  </si>
  <si>
    <t>02-Apr-2025</t>
  </si>
  <si>
    <t>O-1290</t>
  </si>
  <si>
    <t>O-1291</t>
  </si>
  <si>
    <t>21-Aug-2025</t>
  </si>
  <si>
    <t>O-1292</t>
  </si>
  <si>
    <t>04-Apr-2025</t>
  </si>
  <si>
    <t>O-1293</t>
  </si>
  <si>
    <t>15-Oct-2025</t>
  </si>
  <si>
    <t>O-1294</t>
  </si>
  <si>
    <t>O-1295</t>
  </si>
  <si>
    <t>O-1296</t>
  </si>
  <si>
    <t>O-1297</t>
  </si>
  <si>
    <t>18-Aug-2025</t>
  </si>
  <si>
    <t>O-1298</t>
  </si>
  <si>
    <t>O-1299</t>
  </si>
  <si>
    <t>O-1300</t>
  </si>
  <si>
    <t>26-Feb-2025</t>
  </si>
  <si>
    <t>O-1301</t>
  </si>
  <si>
    <t>15-Jan-2025</t>
  </si>
  <si>
    <t>O-1302</t>
  </si>
  <si>
    <t>O-1303</t>
  </si>
  <si>
    <t>05-Apr-2025</t>
  </si>
  <si>
    <t>O-1304</t>
  </si>
  <si>
    <t>O-1305</t>
  </si>
  <si>
    <t>08-Jan-2025</t>
  </si>
  <si>
    <t>O-1306</t>
  </si>
  <si>
    <t>05-Aug-2025</t>
  </si>
  <si>
    <t>O-1307</t>
  </si>
  <si>
    <t>06-Feb-2025</t>
  </si>
  <si>
    <t>O-1308</t>
  </si>
  <si>
    <t>O-1309</t>
  </si>
  <si>
    <t>01-Jan-2025</t>
  </si>
  <si>
    <t>O-1310</t>
  </si>
  <si>
    <t>O-1311</t>
  </si>
  <si>
    <t>28-Sep-2025</t>
  </si>
  <si>
    <t>O-1312</t>
  </si>
  <si>
    <t>O-1313</t>
  </si>
  <si>
    <t>21-Apr-2025</t>
  </si>
  <si>
    <t>O-1314</t>
  </si>
  <si>
    <t>O-1315</t>
  </si>
  <si>
    <t>O-1316</t>
  </si>
  <si>
    <t>O-1317</t>
  </si>
  <si>
    <t>08-Aug-2025</t>
  </si>
  <si>
    <t>O-1318</t>
  </si>
  <si>
    <t>O-1319</t>
  </si>
  <si>
    <t>O-1320</t>
  </si>
  <si>
    <t>13-Sep-2025</t>
  </si>
  <si>
    <t>O-1321</t>
  </si>
  <si>
    <t>09-Sep-2025</t>
  </si>
  <si>
    <t>O-1322</t>
  </si>
  <si>
    <t>12-Jul-2025</t>
  </si>
  <si>
    <t>O-1323</t>
  </si>
  <si>
    <t>O-1324</t>
  </si>
  <si>
    <t>O-1325</t>
  </si>
  <si>
    <t>O-1326</t>
  </si>
  <si>
    <t>O-1327</t>
  </si>
  <si>
    <t>O-1328</t>
  </si>
  <si>
    <t>O-1329</t>
  </si>
  <si>
    <t>O-1330</t>
  </si>
  <si>
    <t>O-1331</t>
  </si>
  <si>
    <t>O-1332</t>
  </si>
  <si>
    <t>O-1333</t>
  </si>
  <si>
    <t>21-Jun-2025</t>
  </si>
  <si>
    <t>O-1334</t>
  </si>
  <si>
    <t>O-1335</t>
  </si>
  <si>
    <t>O-1336</t>
  </si>
  <si>
    <t>01-Oct-2025</t>
  </si>
  <si>
    <t>O-1337</t>
  </si>
  <si>
    <t>O-1338</t>
  </si>
  <si>
    <t>O-1339</t>
  </si>
  <si>
    <t>O-1340</t>
  </si>
  <si>
    <t>O-1341</t>
  </si>
  <si>
    <t>O-1342</t>
  </si>
  <si>
    <t>O-1343</t>
  </si>
  <si>
    <t>22-Mar-2025</t>
  </si>
  <si>
    <t>O-1344</t>
  </si>
  <si>
    <t>O-1345</t>
  </si>
  <si>
    <t>19-Sep-2025</t>
  </si>
  <si>
    <t>O-1346</t>
  </si>
  <si>
    <t>03-Jun-2025</t>
  </si>
  <si>
    <t>O-1347</t>
  </si>
  <si>
    <t>O-1348</t>
  </si>
  <si>
    <t>O-1349</t>
  </si>
  <si>
    <t>30-Sep-2025</t>
  </si>
  <si>
    <t>O-1350</t>
  </si>
  <si>
    <t>14-Oct-2025</t>
  </si>
  <si>
    <t>O-1351</t>
  </si>
  <si>
    <t>13-Aug-2025</t>
  </si>
  <si>
    <t>O-1352</t>
  </si>
  <si>
    <t>16-May-2025</t>
  </si>
  <si>
    <t>O-1353</t>
  </si>
  <si>
    <t>07-Apr-2025</t>
  </si>
  <si>
    <t>O-1354</t>
  </si>
  <si>
    <t>O-1355</t>
  </si>
  <si>
    <t>O-1356</t>
  </si>
  <si>
    <t>O-1357</t>
  </si>
  <si>
    <t>O-1358</t>
  </si>
  <si>
    <t>O-1359</t>
  </si>
  <si>
    <t>O-1360</t>
  </si>
  <si>
    <t>O-1361</t>
  </si>
  <si>
    <t>16-Apr-2025</t>
  </si>
  <si>
    <t>O-1362</t>
  </si>
  <si>
    <t>O-1363</t>
  </si>
  <si>
    <t>09-May-2025</t>
  </si>
  <si>
    <t>O-1364</t>
  </si>
  <si>
    <t>O-1365</t>
  </si>
  <si>
    <t>O-1366</t>
  </si>
  <si>
    <t>O-1367</t>
  </si>
  <si>
    <t>O-1368</t>
  </si>
  <si>
    <t>24-Feb-2025</t>
  </si>
  <si>
    <t>O-1369</t>
  </si>
  <si>
    <t>02-Jan-2025</t>
  </si>
  <si>
    <t>O-1370</t>
  </si>
  <si>
    <t>O-1371</t>
  </si>
  <si>
    <t>30-May-2025</t>
  </si>
  <si>
    <t>O-1372</t>
  </si>
  <si>
    <t>22-Jul-2025</t>
  </si>
  <si>
    <t>O-1373</t>
  </si>
  <si>
    <t>16-Mar-2025</t>
  </si>
  <si>
    <t>O-1374</t>
  </si>
  <si>
    <t>O-1375</t>
  </si>
  <si>
    <t>O-1376</t>
  </si>
  <si>
    <t>13-Jun-2025</t>
  </si>
  <si>
    <t>O-1377</t>
  </si>
  <si>
    <t>11-Jun-2025</t>
  </si>
  <si>
    <t>O-1378</t>
  </si>
  <si>
    <t>24-Sep-2025</t>
  </si>
  <si>
    <t>O-1379</t>
  </si>
  <si>
    <t>28-Apr-2025</t>
  </si>
  <si>
    <t>O-1380</t>
  </si>
  <si>
    <t>28-Jun-2025</t>
  </si>
  <si>
    <t>O-1381</t>
  </si>
  <si>
    <t>27-Feb-2025</t>
  </si>
  <si>
    <t>O-1382</t>
  </si>
  <si>
    <t>O-1383</t>
  </si>
  <si>
    <t>15-Mar-2025</t>
  </si>
  <si>
    <t>O-1384</t>
  </si>
  <si>
    <t>O-1385</t>
  </si>
  <si>
    <t>04-Jan-2025</t>
  </si>
  <si>
    <t>O-1386</t>
  </si>
  <si>
    <t>O-1387</t>
  </si>
  <si>
    <t>29-Apr-2025</t>
  </si>
  <si>
    <t>O-1388</t>
  </si>
  <si>
    <t>O-1389</t>
  </si>
  <si>
    <t>22-Jan-2025</t>
  </si>
  <si>
    <t>O-1390</t>
  </si>
  <si>
    <t>25-Jun-2025</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</si>
  <si>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</si>
  <si>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</si>
  <si>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</si>
  <si>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</si>
  <si>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</si>
  <si>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</si>
  <si>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</si>
  <si>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</si>
  <si>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</si>
  <si>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</si>
  <si>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</si>
  <si>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</si>
  <si>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</si>
  <si>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</si>
  <si>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</si>
  <si>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</si>
  <si>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</si>
  <si>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</si>
  <si>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</si>
  <si>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</si>
  <si>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</si>
  <si>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</si>
  <si>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</si>
  <si>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</si>
  <si>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</si>
  <si>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</si>
  <si>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</si>
  <si>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</si>
  <si>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</si>
  <si>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</si>
  <si>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</si>
  <si>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12-Jun-2025</t>
  </si>
  <si>
    <t>O-1422</t>
  </si>
  <si>
    <t>O-1423</t>
  </si>
  <si>
    <t>21-Mar-2025</t>
  </si>
  <si>
    <t>O-1424</t>
  </si>
  <si>
    <t>O-1425</t>
  </si>
  <si>
    <t>O-1426</t>
  </si>
  <si>
    <t>20-Aug-2025</t>
  </si>
  <si>
    <t>O-1427</t>
  </si>
  <si>
    <t>O-1428</t>
  </si>
  <si>
    <t>O-1429</t>
  </si>
  <si>
    <t>O-1430</t>
  </si>
  <si>
    <t>O-1431</t>
  </si>
  <si>
    <t>18-May-2025</t>
  </si>
  <si>
    <t>O-1432</t>
  </si>
  <si>
    <t>O-1433</t>
  </si>
  <si>
    <t>20-May-2025</t>
  </si>
  <si>
    <t>O-1434</t>
  </si>
  <si>
    <t>O-1435</t>
  </si>
  <si>
    <t>14-Feb-2025</t>
  </si>
  <si>
    <t>O-1436</t>
  </si>
  <si>
    <t>O-1437</t>
  </si>
  <si>
    <t>O-1438</t>
  </si>
  <si>
    <t>O-1439</t>
  </si>
  <si>
    <t>O-1440</t>
  </si>
  <si>
    <t>O-1441</t>
  </si>
  <si>
    <t>O-1442</t>
  </si>
  <si>
    <t>O-1443</t>
  </si>
  <si>
    <t>O-1444</t>
  </si>
  <si>
    <t>14-May-2025</t>
  </si>
  <si>
    <t>O-1445</t>
  </si>
  <si>
    <t>11-Sep-2025</t>
  </si>
  <si>
    <t>O-1446</t>
  </si>
  <si>
    <t>25-Feb-2025</t>
  </si>
  <si>
    <t>O-1447</t>
  </si>
  <si>
    <t>O-1448</t>
  </si>
  <si>
    <t>O-1449</t>
  </si>
  <si>
    <t>05-Jun-2025</t>
  </si>
  <si>
    <t>O-1450</t>
  </si>
  <si>
    <t>O-1451</t>
  </si>
  <si>
    <t>O-1452</t>
  </si>
  <si>
    <t>15-Jul-2025</t>
  </si>
  <si>
    <t>O-1453</t>
  </si>
  <si>
    <t>O-1454</t>
  </si>
  <si>
    <t>O-1455</t>
  </si>
  <si>
    <t>O-1456</t>
  </si>
  <si>
    <t>O-1457</t>
  </si>
  <si>
    <t>O-1458</t>
  </si>
  <si>
    <t>O-1459</t>
  </si>
  <si>
    <t>O-1460</t>
  </si>
  <si>
    <t>O-1461</t>
  </si>
  <si>
    <t>O-1462</t>
  </si>
  <si>
    <t>O-1463</t>
  </si>
  <si>
    <t>O-1464</t>
  </si>
  <si>
    <t>O-1465</t>
  </si>
  <si>
    <t>O-1466</t>
  </si>
  <si>
    <t>O-1467</t>
  </si>
  <si>
    <t>O-1468</t>
  </si>
  <si>
    <t>25-Sep-2025</t>
  </si>
  <si>
    <t>O-1469</t>
  </si>
  <si>
    <t>O-1470</t>
  </si>
  <si>
    <t>O-1471</t>
  </si>
  <si>
    <t>O-1472</t>
  </si>
  <si>
    <t>28-Mar-2025</t>
  </si>
  <si>
    <t>O-1473</t>
  </si>
  <si>
    <t>O-1474</t>
  </si>
  <si>
    <t>O-1475</t>
  </si>
  <si>
    <t>20-Jun-2025</t>
  </si>
  <si>
    <t>O-1476</t>
  </si>
  <si>
    <t>O-1477</t>
  </si>
  <si>
    <t>O-1478</t>
  </si>
  <si>
    <t>19-Jan-2025</t>
  </si>
  <si>
    <t>O-1479</t>
  </si>
  <si>
    <t>10-Aug-2025</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</si>
  <si>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</si>
  <si>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</si>
  <si>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</si>
  <si>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</si>
  <si>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</si>
  <si>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</si>
  <si>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</si>
  <si>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</si>
  <si>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</si>
  <si>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</si>
  <si>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</si>
  <si>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</si>
  <si>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</si>
  <si>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</si>
  <si>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</si>
  <si>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</si>
  <si>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</si>
  <si>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</si>
  <si>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</si>
  <si>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</si>
  <si>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</si>
  <si>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Supplier</t>
  </si>
  <si>
    <t>Rating</t>
  </si>
  <si>
    <t>Warranty</t>
  </si>
  <si>
    <t>Levi's</t>
  </si>
  <si>
    <t>6 Months</t>
  </si>
  <si>
    <t>FeatherLite</t>
  </si>
  <si>
    <t>2 Years</t>
  </si>
  <si>
    <t>Whirlpool</t>
  </si>
  <si>
    <t>1 Year</t>
  </si>
  <si>
    <t>LG Electronics</t>
  </si>
  <si>
    <t>HP India</t>
  </si>
  <si>
    <t>Samsung India</t>
  </si>
  <si>
    <t>Boat</t>
  </si>
  <si>
    <t>Philips</t>
  </si>
  <si>
    <t>Monthly Target</t>
  </si>
  <si>
    <t>Category</t>
  </si>
  <si>
    <t>Function</t>
  </si>
  <si>
    <t>Example Formula</t>
  </si>
  <si>
    <t>Purpose / Description</t>
  </si>
  <si>
    <t>Basic Math</t>
  </si>
  <si>
    <t>SUM</t>
  </si>
  <si>
    <t>Calculates total sales amount</t>
  </si>
  <si>
    <t>AVERAGE</t>
  </si>
  <si>
    <t>Finds average profit</t>
  </si>
  <si>
    <t>Conditional</t>
  </si>
  <si>
    <t>IF</t>
  </si>
  <si>
    <t>Checks if profit is positive</t>
  </si>
  <si>
    <t>SUMIF</t>
  </si>
  <si>
    <t>Total sales for North region</t>
  </si>
  <si>
    <t>COUNTIF</t>
  </si>
  <si>
    <t>Counts orders from South region</t>
  </si>
  <si>
    <t>SUMIFS</t>
  </si>
  <si>
    <t>Total Electronics sales in West</t>
  </si>
  <si>
    <t>Lookup</t>
  </si>
  <si>
    <t>VLOOKUP</t>
  </si>
  <si>
    <t>Fetch supplier from Product Master</t>
  </si>
  <si>
    <t>HLOOKUP</t>
  </si>
  <si>
    <t>Fetch target for given region</t>
  </si>
  <si>
    <t>INDEX+MATCH</t>
  </si>
  <si>
    <t>Find region with max profit</t>
  </si>
  <si>
    <t>Text</t>
  </si>
  <si>
    <t>CONCATENATE</t>
  </si>
  <si>
    <t>Combine customer and product name</t>
  </si>
  <si>
    <t>PROPER</t>
  </si>
  <si>
    <t>Converts customer name to proper case</t>
  </si>
  <si>
    <t>MONTH</t>
  </si>
  <si>
    <t>Extracts month number from date</t>
  </si>
  <si>
    <t>YEAR</t>
  </si>
  <si>
    <t>Extracts year from date</t>
  </si>
  <si>
    <t>Formatting</t>
  </si>
  <si>
    <t>Conditional Formatting</t>
  </si>
  <si>
    <t>Highlight cells &gt; average</t>
  </si>
  <si>
    <t>Use Home → Conditional Formatting</t>
  </si>
  <si>
    <t>Dashboard</t>
  </si>
  <si>
    <t>Pivot Table</t>
  </si>
  <si>
    <t>Insert → PivotTable</t>
  </si>
  <si>
    <t>Summarize data by Region, Product, etc.</t>
  </si>
  <si>
    <t>MonthNum</t>
  </si>
  <si>
    <t>MonthName</t>
  </si>
  <si>
    <t>Year</t>
  </si>
  <si>
    <t xml:space="preserve">Total Profit </t>
  </si>
  <si>
    <t>Products</t>
  </si>
  <si>
    <t>S2</t>
  </si>
  <si>
    <t>S3</t>
  </si>
  <si>
    <t>S4</t>
  </si>
  <si>
    <t>S5</t>
  </si>
  <si>
    <t>S6</t>
  </si>
  <si>
    <t>Total Orders</t>
  </si>
  <si>
    <t>Average Order Value</t>
  </si>
  <si>
    <t>Average Profit Margin</t>
  </si>
  <si>
    <t>Order with Loss</t>
  </si>
  <si>
    <t>Row Labels</t>
  </si>
  <si>
    <t>Sum of Total Sales</t>
  </si>
  <si>
    <t>Sum of Profit</t>
  </si>
  <si>
    <t>Jan</t>
  </si>
  <si>
    <t>May</t>
  </si>
  <si>
    <t>Count of Quantity</t>
  </si>
  <si>
    <t>Average of Discount</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</si>
</sst>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b/>
      <sz val="11"/>
      <name val="Calibri"/>
    </font>
    <font>
      <b/>
      <sz val="11"/>
      <color theme="0"/>
      <name val="Calibri"/>
      <family val="2"/>
      <scheme val="minor"/>
    </font>
    <font>
      <b/>
      <sz val="11"/>
      <color theme="1"/>
      <name val="Calibri"/>
      <family val="2"/>
      <scheme val="minor"/>
    </font>
    <font>
      <b/>
      <sz val="11"/>
      <name val="Calibri"/>
      <family val="2"/>
    </font>
  </fonts>
  <fills count="3">
    <fill>
      <patternFill patternType="none"/>
    </fill>
    <fill>
      <patternFill patternType="gray125"/>
    </fill>
    <fill>
      <patternFill patternType="solid">
        <fgColor theme="4"/>
        <bgColor theme="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ck">
        <color theme="0"/>
      </top>
      <bottom/>
      <diagonal/>
    </border>
    <border>
      <left style="thin">
        <color theme="0"/>
      </left>
      <right/>
      <top style="thick">
        <color theme="0"/>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1" fillId="0" borderId="0" xfId="0" applyFon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4" fontId="0" fillId="0" borderId="0" xfId="0" applyNumberFormat="1"/>
    <xf numFmtId="0" fontId="3" fillId="0" borderId="0" xfId="0" applyFont="1"/>
    <xf numFmtId="0" fontId="0" fillId="0" borderId="0" xfId="0" applyNumberFormat="1"/>
    <xf numFmtId="2" fontId="4" fillId="0" borderId="2" xfId="0" applyNumberFormat="1" applyFont="1" applyBorder="1" applyAlignment="1">
      <alignment horizontal="center" vertical="top"/>
    </xf>
    <xf numFmtId="2" fontId="0" fillId="0" borderId="0" xfId="0" applyNumberFormat="1"/>
    <xf numFmtId="2" fontId="1" fillId="0" borderId="2" xfId="0" applyNumberFormat="1" applyFont="1" applyBorder="1" applyAlignment="1">
      <alignment horizontal="center" vertical="top"/>
    </xf>
    <xf numFmtId="2" fontId="2" fillId="2" borderId="3" xfId="0" applyNumberFormat="1" applyFont="1" applyFill="1" applyBorder="1"/>
    <xf numFmtId="2" fontId="2" fillId="2" borderId="4" xfId="0" applyNumberFormat="1" applyFont="1" applyFill="1" applyBorder="1"/>
    <xf numFmtId="0" fontId="0" fillId="0" borderId="0" xfId="0" pivotButton="1"/>
    <xf numFmtId="0" fontId="0" fillId="0" borderId="0" xfId="0" applyAlignment="1">
      <alignment horizontal="left"/>
    </xf>
    <xf numFmtId="0" fontId="0" fillId="0" borderId="0" xfId="0" applyAlignment="1">
      <alignment horizontal="center"/>
    </xf>
  </cellXfs>
  <cellStyles count="1">
    <cellStyle name="Normal" xfId="0" builtinId="0"/>
  </cellStyles>
  <dxfs count="4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[SuperMart_Sales_2025 (1).xlsx]Sales By Region!PivotTable1</c:name>
    <c:fmtId val="0"/>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'Sales By Region'!$B$3</c:f>
              <c:strCache>
                <c:ptCount val="1"/>
                <c:pt idx="0">
                  <c:v>Sum of Total Sales</c:v>
                </c:pt>
              </c:strCache>
            </c:strRef>
          </c:tx>
          <c:invertIfNegative val="0"/>
          <c:cat>
            <c:strRef>
              <c:f>'Sales By Region'!$A$4</c:f>
              <c:strCache>
                <c:ptCount val="1"/>
                <c:pt idx="0">
                  <c:v>East</c:v>
                </c:pt>
              </c:strCache>
            </c:strRef>
          </c:cat>
          <c:val>
            <c:numRef>
              <c:f>'Sales By Region'!$B$4</c:f>
              <c:numCache>
                <c:formatCode>General</c:formatCode>
                <c:ptCount val="1"/>
                <c:pt idx="0">
                  <c:v>233908.95</c:v>
                </c:pt>
              </c:numCache>
            </c:numRef>
          </c:val>
        </c:ser>
        <c:ser>
          <c:idx val="1"/>
          <c:order val="1"/>
          <c:tx>
            <c:strRef>
              <c:f>'Sales By Region'!$C$3</c:f>
              <c:strCache>
                <c:ptCount val="1"/>
                <c:pt idx="0">
                  <c:v>Sum of Profit</c:v>
                </c:pt>
              </c:strCache>
            </c:strRef>
          </c:tx>
          <c:invertIfNegative val="0"/>
          <c:cat>
            <c:strRef>
              <c:f>'Sales By Region'!$A$4</c:f>
              <c:strCache>
                <c:ptCount val="1"/>
                <c:pt idx="0">
                  <c:v>East</c:v>
                </c:pt>
              </c:strCache>
            </c:strRef>
          </c:cat>
          <c:val>
            <c:numRef>
              <c:f>'Sales By Region'!$C$4</c:f>
              <c:numCache>
                <c:formatCode>General</c:formatCode>
                <c:ptCount val="1"/>
                <c:pt idx="0">
                  <c:v>58788.42</c:v>
                </c:pt>
              </c:numCache>
            </c:numRef>
          </c:val>
        </c:ser>
        <c:dLbls>
          <c:showLegendKey val="0"/>
          <c:showVal val="0"/>
          <c:showCatName val="0"/>
          <c:showSerName val="0"/>
          <c:showPercent val="0"/>
          <c:showBubbleSize val="0"/>
        </c:dLbls>
        <c:gapWidth val="150"/>
        <c:axId val="211344768"/>
        <c:axId val="211346560"/>
      </c:barChart>
      <c:catAx>
        <c:axId val="211344768"/>
        <c:scaling>
          <c:orientation val="minMax"/>
        </c:scaling>
        <c:delete val="0"/>
        <c:axPos val="b"/>
        <c:majorTickMark val="out"/>
        <c:minorTickMark val="none"/>
        <c:tickLblPos val="nextTo"/>
        <c:crossAx val="211346560"/>
        <c:crosses val="autoZero"/>
        <c:auto val="1"/>
        <c:lblAlgn val="ctr"/>
        <c:lblOffset val="100"/>
        <c:noMultiLvlLbl val="0"/>
      </c:catAx>
      <c:valAx>
        <c:axId val="211346560"/>
        <c:scaling>
          <c:orientation val="minMax"/>
        </c:scaling>
        <c:delete val="0"/>
        <c:axPos val="l"/>
        <c:majorGridlines>
          <c:spPr>
            <a:ln>
              <a:noFill/>
            </a:ln>
          </c:spPr>
        </c:majorGridlines>
        <c:numFmt formatCode="General" sourceLinked="1"/>
        <c:majorTickMark val="out"/>
        <c:minorTickMark val="none"/>
        <c:tickLblPos val="nextTo"/>
        <c:crossAx val="211344768"/>
        <c:crosses val="autoZero"/>
        <c:crossBetween val="between"/>
      </c:valAx>
      <c:spPr>
        <a:pattFill prst="pct5">
          <a:fgClr>
            <a:schemeClr val="bg1">
              <a:lumMod val="50000"/>
            </a:schemeClr>
          </a:fgClr>
          <a:bgClr>
            <a:schemeClr val="bg1"/>
          </a:bgClr>
        </a:pattFill>
        <a:ln>
          <a:noFill/>
        </a:ln>
      </c:spPr>
    </c:plotArea>
    <c:legend>
      <c:legendPos val="r"/>
      <c:layout/>
      <c:overlay val="0"/>
    </c:legend>
    <c:plotVisOnly val="1"/>
    <c:dispBlanksAs val="gap"/>
    <c:showDLblsOverMax val="0"/>
  </c:chart>
  <c:spPr>
    <a:solidFill>
      <a:schemeClr val="bg1">
        <a:lumMod val="75000"/>
      </a:schemeClr>
    </a:solidFill>
    <a:ln>
      <a:noFill/>
    </a:ln>
    <a:scene3d>
      <a:camera prst="orthographicFront"/>
      <a:lightRig rig="threePt" dir="t"/>
    </a:scene3d>
    <a:sp3d>
      <a:bevelT w="50800" h="95250"/>
      <a:bevelB w="25400" h="95250"/>
    </a:sp3d>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1"/>
  <mc:AlternateContent xmlns:mc="http://schemas.openxmlformats.org/markup-compatibility/2006">
    <mc:Choice xmlns:c14="http://schemas.microsoft.com/office/drawing/2007/8/2/chart" Requires="c14">
      <c14:style val="103"/>
    </mc:Choice>
    <mc:Fallback>
      <c:style val="3"/>
    </mc:Fallback>
  </mc:AlternateContent>
  <c:pivotSource>
    <c:name>[SuperMart_Sales_2025 (1).xlsx]Monthly Sales Trend!PivotTable2</c:name>
    <c:fmtId val="2"/>
  </c:pivotSource>
  <c:chart>
    <c:title>
      <c:tx>
        <c:rich>
          <a:bodyPr/>
          <a:lstStyle/>
          <a:p>
            <a:pPr>
              <a:defRPr/>
            </a:pPr>
            <a:r>
              <a:rPr lang="en-US">
                <a:solidFill>
                  <a:srgbClr val="C00000"/>
                </a:solidFill>
              </a:rPr>
              <a:t>Monthly</a:t>
            </a:r>
            <a:r>
              <a:rPr lang="en-US" baseline="0">
                <a:solidFill>
                  <a:srgbClr val="C00000"/>
                </a:solidFill>
              </a:rPr>
              <a:t> Sales Trend</a:t>
            </a:r>
            <a:endParaRPr lang="en-US">
              <a:solidFill>
                <a:srgbClr val="C00000"/>
              </a:solidFill>
            </a:endParaRPr>
          </a:p>
        </c:rich>
      </c:tx>
      <c:layout/>
      <c:overlay val="0"/>
      <c:spPr>
        <a:solidFill>
          <a:schemeClr val="bg1">
            <a:lumMod val="95000"/>
          </a:schemeClr>
        </a:solidFill>
      </c:spPr>
    </c:title>
    <c:autoTitleDeleted val="0"/>
    <c:pivotFmts>
      <c:pivotFmt>
        <c:idx val="0"/>
      </c:pivotFmt>
    </c:pivotFmts>
    <c:plotArea>
      <c:layout/>
      <c:lineChart>
        <c:grouping val="standard"/>
        <c:varyColors val="0"/>
        <c:ser>
          <c:idx val="0"/>
          <c:order val="0"/>
          <c:tx>
            <c:strRef>
              <c:f>'Monthly Sales Trend'!$B$3</c:f>
              <c:strCache>
                <c:ptCount val="1"/>
                <c:pt idx="0">
                  <c:v>Total</c:v>
                </c:pt>
              </c:strCache>
            </c:strRef>
          </c:tx>
          <c:cat>
            <c:strRef>
              <c:f>'Monthly Sales Trend'!$A$4</c:f>
              <c:strCache>
                <c:ptCount val="1"/>
                <c:pt idx="0">
                  <c:v>May</c:v>
                </c:pt>
              </c:strCache>
            </c:strRef>
          </c:cat>
          <c:val>
            <c:numRef>
              <c:f>'Monthly Sales Trend'!$B$4</c:f>
              <c:numCache>
                <c:formatCode>General</c:formatCode>
                <c:ptCount val="1"/>
                <c:pt idx="0">
                  <c:v>233908.95</c:v>
                </c:pt>
              </c:numCache>
            </c:numRef>
          </c:val>
          <c:smooth val="0"/>
        </c:ser>
        <c:dLbls>
          <c:showLegendKey val="0"/>
          <c:showVal val="0"/>
          <c:showCatName val="0"/>
          <c:showSerName val="0"/>
          <c:showPercent val="0"/>
          <c:showBubbleSize val="0"/>
        </c:dLbls>
        <c:marker val="1"/>
        <c:smooth val="0"/>
        <c:axId val="251941248"/>
        <c:axId val="251943168"/>
      </c:lineChart>
      <c:catAx>
        <c:axId val="251941248"/>
        <c:scaling>
          <c:orientation val="minMax"/>
        </c:scaling>
        <c:delete val="0"/>
        <c:axPos val="b"/>
        <c:majorTickMark val="out"/>
        <c:minorTickMark val="none"/>
        <c:tickLblPos val="nextTo"/>
        <c:crossAx val="251943168"/>
        <c:crosses val="autoZero"/>
        <c:auto val="1"/>
        <c:lblAlgn val="ctr"/>
        <c:lblOffset val="100"/>
        <c:noMultiLvlLbl val="0"/>
      </c:catAx>
      <c:valAx>
        <c:axId val="251943168"/>
        <c:scaling>
          <c:orientation val="minMax"/>
        </c:scaling>
        <c:delete val="0"/>
        <c:axPos val="l"/>
        <c:majorGridlines>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ajorGridlines>
        <c:numFmt formatCode="General" sourceLinked="1"/>
        <c:majorTickMark val="out"/>
        <c:minorTickMark val="none"/>
        <c:tickLblPos val="nextTo"/>
        <c:crossAx val="251941248"/>
        <c:crosses val="autoZero"/>
        <c:crossBetween val="between"/>
      </c:valAx>
      <c:spPr>
        <a:pattFill prst="pct5">
          <a:fgClr>
            <a:schemeClr val="bg1">
              <a:lumMod val="85000"/>
            </a:schemeClr>
          </a:fgClr>
          <a:bgClr>
            <a:schemeClr val="bg1"/>
          </a:bgClr>
        </a:pattFill>
      </c:spPr>
    </c:plotArea>
    <c:legend>
      <c:legendPos val="r"/>
      <c:layout/>
      <c:overlay val="0"/>
    </c:legend>
    <c:plotVisOnly val="1"/>
    <c:dispBlanksAs val="gap"/>
    <c:showDLblsOverMax val="0"/>
  </c:chart>
  <c:spPr>
    <a:solidFill>
      <a:schemeClr val="bg1">
        <a:lumMod val="85000"/>
      </a:schemeClr>
    </a:solidFill>
    <a:ln>
      <a:noFill/>
    </a:ln>
    <a:scene3d>
      <a:camera prst="orthographicFront"/>
      <a:lightRig rig="threePt" dir="t"/>
    </a:scene3d>
    <a:sp3d>
      <a:bevelT w="19050" h="88900"/>
      <a:bevelB w="12700" h="88900"/>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[SuperMart_Sales_2025 (1).xlsx]Top 5 Product By profit!PivotTable3</c:name>
    <c:fmtId val="0"/>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'Top 5 Product By profit'!$B$3</c:f>
              <c:strCache>
                <c:ptCount val="1"/>
                <c:pt idx="0">
                  <c:v>Sum of Total Sales</c:v>
                </c:pt>
              </c:strCache>
            </c:strRef>
          </c:tx>
          <c:invertIfNegative val="0"/>
          <c:cat>
            <c:strRef>
              <c:f>'Top 5 Product By profit'!$A$4</c:f>
              <c:strCache>
                <c:ptCount val="1"/>
                <c:pt idx="0">
                  <c:v>Dell Inspiron</c:v>
                </c:pt>
              </c:strCache>
            </c:strRef>
          </c:cat>
          <c:val>
            <c:numRef>
              <c:f>'Top 5 Product By profit'!$B$4</c:f>
              <c:numCache>
                <c:formatCode>General</c:formatCode>
                <c:ptCount val="1"/>
                <c:pt idx="0">
                  <c:v>233908.95</c:v>
                </c:pt>
              </c:numCache>
            </c:numRef>
          </c:val>
        </c:ser>
        <c:ser>
          <c:idx val="1"/>
          <c:order val="1"/>
          <c:tx>
            <c:strRef>
              <c:f>'Top 5 Product By profit'!$C$3</c:f>
              <c:strCache>
                <c:ptCount val="1"/>
                <c:pt idx="0">
                  <c:v>Sum of Profit</c:v>
                </c:pt>
              </c:strCache>
            </c:strRef>
          </c:tx>
          <c:invertIfNegative val="0"/>
          <c:cat>
            <c:strRef>
              <c:f>'Top 5 Product By profit'!$A$4</c:f>
              <c:strCache>
                <c:ptCount val="1"/>
                <c:pt idx="0">
                  <c:v>Dell Inspiron</c:v>
                </c:pt>
              </c:strCache>
            </c:strRef>
          </c:cat>
          <c:val>
            <c:numRef>
              <c:f>'Top 5 Product By profit'!$C$4</c:f>
              <c:numCache>
                <c:formatCode>General</c:formatCode>
                <c:ptCount val="1"/>
                <c:pt idx="0">
                  <c:v>58788.42</c:v>
                </c:pt>
              </c:numCache>
            </c:numRef>
          </c:val>
        </c:ser>
        <c:dLbls>
          <c:showLegendKey val="0"/>
          <c:showVal val="0"/>
          <c:showCatName val="0"/>
          <c:showSerName val="0"/>
          <c:showPercent val="0"/>
          <c:showBubbleSize val="0"/>
        </c:dLbls>
        <c:gapWidth val="150"/>
        <c:axId val="47140224"/>
        <c:axId val="49005696"/>
      </c:barChart>
      <c:catAx>
        <c:axId val="47140224"/>
        <c:scaling>
          <c:orientation val="minMax"/>
        </c:scaling>
        <c:delete val="0"/>
        <c:axPos val="b"/>
        <c:majorTickMark val="out"/>
        <c:minorTickMark val="none"/>
        <c:tickLblPos val="nextTo"/>
        <c:crossAx val="49005696"/>
        <c:crosses val="autoZero"/>
        <c:auto val="1"/>
        <c:lblAlgn val="ctr"/>
        <c:lblOffset val="100"/>
        <c:noMultiLvlLbl val="0"/>
      </c:catAx>
      <c:valAx>
        <c:axId val="49005696"/>
        <c:scaling>
          <c:orientation val="minMax"/>
        </c:scaling>
        <c:delete val="0"/>
        <c:axPos val="l"/>
        <c:majorGridlines>
          <c:spPr>
            <a:ln>
              <a:noFill/>
            </a:ln>
          </c:spPr>
        </c:majorGridlines>
        <c:numFmt formatCode="General" sourceLinked="1"/>
        <c:majorTickMark val="out"/>
        <c:minorTickMark val="none"/>
        <c:tickLblPos val="nextTo"/>
        <c:crossAx val="47140224"/>
        <c:crosses val="autoZero"/>
        <c:crossBetween val="between"/>
      </c:valAx>
    </c:plotArea>
    <c:legend>
      <c:legendPos val="r"/>
      <c:layout/>
      <c:overlay val="0"/>
    </c:legend>
    <c:plotVisOnly val="1"/>
    <c:dispBlanksAs val="gap"/>
    <c:showDLblsOverMax val="0"/>
  </c:chart>
  <c:spPr>
    <a:solidFill>
      <a:schemeClr val="bg1">
        <a:lumMod val="85000"/>
      </a:schemeClr>
    </a:solidFill>
    <a:ln>
      <a:noFill/>
    </a:ln>
    <a:scene3d>
      <a:camera prst="orthographicFront"/>
      <a:lightRig rig="threePt" dir="t"/>
    </a:scene3d>
    <a:sp3d>
      <a:bevelT w="6350" h="82550"/>
      <a:bevelB w="6350" h="82550"/>
    </a:sp3d>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[SuperMart_Sales_2025 (1).xlsx]Sales Person Performance!PivotTable4</c:name>
    <c:fmtId val="6"/>
  </c:pivotSource>
  <c:chart>
    <c:autoTitleDeleted val="0"/>
    <c:pivotFmts>
      <c:pivotFmt>
        <c:idx val="0"/>
        <c:marker>
          <c:symbol val="none"/>
        </c:marker>
      </c:pivotFmt>
      <c:pivotFmt>
        <c:idx val="1"/>
        <c:marker>
          <c:symbol val="none"/>
        </c:marker>
      </c:pivotFmt>
    </c:pivotFmts>
    <c:plotArea>
      <c:layout/>
      <c:barChart>
        <c:barDir val="col"/>
        <c:grouping val="stacked"/>
        <c:varyColors val="0"/>
        <c:ser>
          <c:idx val="0"/>
          <c:order val="0"/>
          <c:tx>
            <c:strRef>
              <c:f>'Sales Person Performance'!$B$3</c:f>
              <c:strCache>
                <c:ptCount val="1"/>
                <c:pt idx="0">
                  <c:v>Count of Quantity</c:v>
                </c:pt>
              </c:strCache>
            </c:strRef>
          </c:tx>
          <c:invertIfNegative val="0"/>
          <c:cat>
            <c:strRef>
              <c:f>'Sales Person Performance'!$A$4</c:f>
              <c:strCache>
                <c:ptCount val="1"/>
                <c:pt idx="0">
                  <c:v>Rohan Das</c:v>
                </c:pt>
              </c:strCache>
            </c:strRef>
          </c:cat>
          <c:val>
            <c:numRef>
              <c:f>'Sales Person Performance'!$B$4</c:f>
              <c:numCache>
                <c:formatCode>General</c:formatCode>
                <c:ptCount val="1"/>
                <c:pt idx="0">
                  <c:v>1</c:v>
                </c:pt>
              </c:numCache>
            </c:numRef>
          </c:val>
        </c:ser>
        <c:ser>
          <c:idx val="1"/>
          <c:order val="1"/>
          <c:tx>
            <c:strRef>
              <c:f>'Sales Person Performance'!$C$3</c:f>
              <c:strCache>
                <c:ptCount val="1"/>
                <c:pt idx="0">
                  <c:v>Sum of Profit</c:v>
                </c:pt>
              </c:strCache>
            </c:strRef>
          </c:tx>
          <c:invertIfNegative val="0"/>
          <c:cat>
            <c:strRef>
              <c:f>'Sales Person Performance'!$A$4</c:f>
              <c:strCache>
                <c:ptCount val="1"/>
                <c:pt idx="0">
                  <c:v>Rohan Das</c:v>
                </c:pt>
              </c:strCache>
            </c:strRef>
          </c:cat>
          <c:val>
            <c:numRef>
              <c:f>'Sales Person Performance'!$C$4</c:f>
              <c:numCache>
                <c:formatCode>General</c:formatCode>
                <c:ptCount val="1"/>
                <c:pt idx="0">
                  <c:v>58788.42</c:v>
                </c:pt>
              </c:numCache>
            </c:numRef>
          </c:val>
        </c:ser>
        <c:dLbls>
          <c:showLegendKey val="0"/>
          <c:showVal val="0"/>
          <c:showCatName val="0"/>
          <c:showSerName val="0"/>
          <c:showPercent val="0"/>
          <c:showBubbleSize val="0"/>
        </c:dLbls>
        <c:gapWidth val="150"/>
        <c:overlap val="100"/>
        <c:axId val="150647552"/>
        <c:axId val="152646016"/>
      </c:barChart>
      <c:catAx>
        <c:axId val="150647552"/>
        <c:scaling>
          <c:orientation val="minMax"/>
        </c:scaling>
        <c:delete val="0"/>
        <c:axPos val="b"/>
        <c:majorTickMark val="out"/>
        <c:minorTickMark val="none"/>
        <c:tickLblPos val="nextTo"/>
        <c:crossAx val="152646016"/>
        <c:crosses val="autoZero"/>
        <c:auto val="1"/>
        <c:lblAlgn val="ctr"/>
        <c:lblOffset val="100"/>
        <c:noMultiLvlLbl val="0"/>
      </c:catAx>
      <c:valAx>
        <c:axId val="152646016"/>
        <c:scaling>
          <c:orientation val="minMax"/>
        </c:scaling>
        <c:delete val="0"/>
        <c:axPos val="l"/>
        <c:majorGridlines>
          <c:spPr>
            <a:ln>
              <a:noFill/>
            </a:ln>
          </c:spPr>
        </c:majorGridlines>
        <c:numFmt formatCode="General" sourceLinked="1"/>
        <c:majorTickMark val="out"/>
        <c:minorTickMark val="none"/>
        <c:tickLblPos val="nextTo"/>
        <c:crossAx val="150647552"/>
        <c:crosses val="autoZero"/>
        <c:crossBetween val="between"/>
      </c:valAx>
    </c:plotArea>
    <c:legend>
      <c:legendPos val="r"/>
      <c:layout/>
      <c:overlay val="0"/>
    </c:legend>
    <c:plotVisOnly val="1"/>
    <c:dispBlanksAs val="gap"/>
    <c:showDLblsOverMax val="0"/>
  </c:chart>
  <c:spPr>
    <a:solidFill>
      <a:schemeClr val="bg1">
        <a:lumMod val="85000"/>
      </a:schemeClr>
    </a:solidFill>
    <a:ln>
      <a:noFill/>
    </a:ln>
    <a:scene3d>
      <a:camera prst="orthographicFront"/>
      <a:lightRig rig="threePt" dir="t"/>
    </a:scene3d>
    <a:sp3d>
      <a:bevelT w="6350" h="82550"/>
      <a:bevelB w="82550" h="6350"/>
    </a:sp3d>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[SuperMart_Sales_2025 (1).xlsx]Category Wise Profit &amp; Discount!PivotTable5</c:name>
    <c:fmtId val="6"/>
  </c:pivotSource>
  <c:chart>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'Category Wise Profit &amp; Discount'!$B$3</c:f>
              <c:strCache>
                <c:ptCount val="1"/>
                <c:pt idx="0">
                  <c:v>Sum of Total Sales</c:v>
                </c:pt>
              </c:strCache>
            </c:strRef>
          </c:tx>
          <c:invertIfNegative val="0"/>
          <c:cat>
            <c:strRef>
              <c:f>'Category Wise Profit &amp; Discount'!$A$4</c:f>
              <c:strCache>
                <c:ptCount val="1"/>
                <c:pt idx="0">
                  <c:v>Electronics</c:v>
                </c:pt>
              </c:strCache>
            </c:strRef>
          </c:cat>
          <c:val>
            <c:numRef>
              <c:f>'Category Wise Profit &amp; Discount'!$B$4</c:f>
              <c:numCache>
                <c:formatCode>General</c:formatCode>
                <c:ptCount val="1"/>
                <c:pt idx="0">
                  <c:v>233908.95</c:v>
                </c:pt>
              </c:numCache>
            </c:numRef>
          </c:val>
        </c:ser>
        <c:ser>
          <c:idx val="1"/>
          <c:order val="1"/>
          <c:tx>
            <c:strRef>
              <c:f>'Category Wise Profit &amp; Discount'!$C$3</c:f>
              <c:strCache>
                <c:ptCount val="1"/>
                <c:pt idx="0">
                  <c:v>Sum of Profit</c:v>
                </c:pt>
              </c:strCache>
            </c:strRef>
          </c:tx>
          <c:invertIfNegative val="0"/>
          <c:cat>
            <c:strRef>
              <c:f>'Category Wise Profit &amp; Discount'!$A$4</c:f>
              <c:strCache>
                <c:ptCount val="1"/>
                <c:pt idx="0">
                  <c:v>Electronics</c:v>
                </c:pt>
              </c:strCache>
            </c:strRef>
          </c:cat>
          <c:val>
            <c:numRef>
              <c:f>'Category Wise Profit &amp; Discount'!$C$4</c:f>
              <c:numCache>
                <c:formatCode>General</c:formatCode>
                <c:ptCount val="1"/>
                <c:pt idx="0">
                  <c:v>58788.42</c:v>
                </c:pt>
              </c:numCache>
            </c:numRef>
          </c:val>
        </c:ser>
        <c:ser>
          <c:idx val="2"/>
          <c:order val="2"/>
          <c:tx>
            <c:strRef>
              <c:f>'Category Wise Profit &amp; Discount'!$D$3</c:f>
              <c:strCache>
                <c:ptCount val="1"/>
                <c:pt idx="0">
                  <c:v>Average of Discount</c:v>
                </c:pt>
              </c:strCache>
            </c:strRef>
          </c:tx>
          <c:invertIfNegative val="0"/>
          <c:cat>
            <c:strRef>
              <c:f>'Category Wise Profit &amp; Discount'!$A$4</c:f>
              <c:strCache>
                <c:ptCount val="1"/>
                <c:pt idx="0">
                  <c:v>Electronics</c:v>
                </c:pt>
              </c:strCache>
            </c:strRef>
          </c:cat>
          <c:val>
            <c:numRef>
              <c:f>'Category Wise Profit &amp; Discount'!$D$4</c:f>
              <c:numCache>
                <c:formatCode>General</c:formatCode>
                <c:ptCount val="1"/>
                <c:pt idx="0">
                  <c:v>7.0000000000000007E-2</c:v>
                </c:pt>
              </c:numCache>
            </c:numRef>
          </c:val>
        </c:ser>
        <c:dLbls>
          <c:showLegendKey val="0"/>
          <c:showVal val="0"/>
          <c:showCatName val="0"/>
          <c:showSerName val="0"/>
          <c:showPercent val="0"/>
          <c:showBubbleSize val="0"/>
        </c:dLbls>
        <c:gapWidth val="150"/>
        <c:axId val="154012288"/>
        <c:axId val="154450944"/>
      </c:barChart>
      <c:catAx>
        <c:axId val="154012288"/>
        <c:scaling>
          <c:orientation val="minMax"/>
        </c:scaling>
        <c:delete val="0"/>
        <c:axPos val="b"/>
        <c:majorTickMark val="out"/>
        <c:minorTickMark val="none"/>
        <c:tickLblPos val="nextTo"/>
        <c:crossAx val="154450944"/>
        <c:crosses val="autoZero"/>
        <c:auto val="1"/>
        <c:lblAlgn val="ctr"/>
        <c:lblOffset val="100"/>
        <c:noMultiLvlLbl val="0"/>
      </c:catAx>
      <c:valAx>
        <c:axId val="154450944"/>
        <c:scaling>
          <c:orientation val="minMax"/>
        </c:scaling>
        <c:delete val="0"/>
        <c:axPos val="l"/>
        <c:majorGridlines>
          <c:spPr>
            <a:ln>
              <a:noFill/>
            </a:ln>
          </c:spPr>
        </c:majorGridlines>
        <c:numFmt formatCode="General" sourceLinked="1"/>
        <c:majorTickMark val="out"/>
        <c:minorTickMark val="none"/>
        <c:tickLblPos val="nextTo"/>
        <c:crossAx val="154012288"/>
        <c:crosses val="autoZero"/>
        <c:crossBetween val="between"/>
      </c:valAx>
    </c:plotArea>
    <c:legend>
      <c:legendPos val="r"/>
      <c:layout/>
      <c:overlay val="0"/>
    </c:legend>
    <c:plotVisOnly val="1"/>
    <c:dispBlanksAs val="gap"/>
    <c:showDLblsOverMax val="0"/>
  </c:chart>
  <c:spPr>
    <a:solidFill>
      <a:schemeClr val="bg1">
        <a:lumMod val="85000"/>
      </a:schemeClr>
    </a:solidFill>
    <a:ln>
      <a:noFill/>
    </a:ln>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[SuperMart_Sales_2025 (1).xlsx]Sales By Region!PivotTable1</c:name>
    <c:fmtId val="2"/>
  </c:pivotSource>
  <c:chart>
    <c:title>
      <c:tx>
        <c:rich>
          <a:bodyPr/>
          <a:lstStyle/>
          <a:p>
            <a:pPr>
              <a:defRPr sz="1400">
                <a:solidFill>
                  <a:srgbClr val="C00000"/>
                </a:solidFill>
              </a:defRPr>
            </a:pPr>
            <a:r>
              <a:rPr lang="en-US" sz="1400">
                <a:solidFill>
                  <a:srgbClr val="C00000"/>
                </a:solidFill>
              </a:rPr>
              <a:t>Sales By Region</a:t>
            </a:r>
          </a:p>
        </c:rich>
      </c:tx>
      <c:layout>
        <c:manualLayout>
          <c:xMode val="edge"/>
          <c:yMode val="edge"/>
          <c:x val="0.63941792153781185"/>
          <c:y val="3.003003003003003E-2"/>
        </c:manualLayout>
      </c:layout>
      <c:overlay val="1"/>
      <c:spPr>
        <a:solidFill>
          <a:schemeClr val="bg1">
            <a:lumMod val="85000"/>
          </a:schemeClr>
        </a:solidFill>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'Sales By Region'!$B$3</c:f>
              <c:strCache>
                <c:ptCount val="1"/>
                <c:pt idx="0">
                  <c:v>Sum of Total Sales</c:v>
                </c:pt>
              </c:strCache>
            </c:strRef>
          </c:tx>
          <c:invertIfNegative val="0"/>
          <c:cat>
            <c:strRef>
              <c:f>'Sales By Region'!$A$4</c:f>
              <c:strCache>
                <c:ptCount val="1"/>
                <c:pt idx="0">
                  <c:v>East</c:v>
                </c:pt>
              </c:strCache>
            </c:strRef>
          </c:cat>
          <c:val>
            <c:numRef>
              <c:f>'Sales By Region'!$B$4</c:f>
              <c:numCache>
                <c:formatCode>General</c:formatCode>
                <c:ptCount val="1"/>
                <c:pt idx="0">
                  <c:v>233908.95</c:v>
                </c:pt>
              </c:numCache>
            </c:numRef>
          </c:val>
        </c:ser>
        <c:ser>
          <c:idx val="1"/>
          <c:order val="1"/>
          <c:tx>
            <c:strRef>
              <c:f>'Sales By Region'!$C$3</c:f>
              <c:strCache>
                <c:ptCount val="1"/>
                <c:pt idx="0">
                  <c:v>Sum of Profit</c:v>
                </c:pt>
              </c:strCache>
            </c:strRef>
          </c:tx>
          <c:invertIfNegative val="0"/>
          <c:cat>
            <c:strRef>
              <c:f>'Sales By Region'!$A$4</c:f>
              <c:strCache>
                <c:ptCount val="1"/>
                <c:pt idx="0">
                  <c:v>East</c:v>
                </c:pt>
              </c:strCache>
            </c:strRef>
          </c:cat>
          <c:val>
            <c:numRef>
              <c:f>'Sales By Region'!$C$4</c:f>
              <c:numCache>
                <c:formatCode>General</c:formatCode>
                <c:ptCount val="1"/>
                <c:pt idx="0">
                  <c:v>58788.42</c:v>
                </c:pt>
              </c:numCache>
            </c:numRef>
          </c:val>
        </c:ser>
        <c:dLbls>
          <c:showLegendKey val="0"/>
          <c:showVal val="0"/>
          <c:showCatName val="0"/>
          <c:showSerName val="0"/>
          <c:showPercent val="0"/>
          <c:showBubbleSize val="0"/>
        </c:dLbls>
        <c:gapWidth val="150"/>
        <c:axId val="154672128"/>
        <c:axId val="155337472"/>
      </c:barChart>
      <c:catAx>
        <c:axId val="154672128"/>
        <c:scaling>
          <c:orientation val="minMax"/>
        </c:scaling>
        <c:delete val="0"/>
        <c:axPos val="b"/>
        <c:majorTickMark val="out"/>
        <c:minorTickMark val="none"/>
        <c:tickLblPos val="nextTo"/>
        <c:crossAx val="155337472"/>
        <c:crosses val="autoZero"/>
        <c:auto val="1"/>
        <c:lblAlgn val="ctr"/>
        <c:lblOffset val="100"/>
        <c:noMultiLvlLbl val="0"/>
      </c:catAx>
      <c:valAx>
        <c:axId val="155337472"/>
        <c:scaling>
          <c:orientation val="minMax"/>
        </c:scaling>
        <c:delete val="0"/>
        <c:axPos val="l"/>
        <c:majorGridlines>
          <c:spPr>
            <a:ln>
              <a:noFill/>
            </a:ln>
          </c:spPr>
        </c:majorGridlines>
        <c:numFmt formatCode="General" sourceLinked="1"/>
        <c:majorTickMark val="out"/>
        <c:minorTickMark val="none"/>
        <c:tickLblPos val="nextTo"/>
        <c:crossAx val="154672128"/>
        <c:crosses val="autoZero"/>
        <c:crossBetween val="between"/>
      </c:valAx>
      <c:spPr>
        <a:pattFill prst="pct5">
          <a:fgClr>
            <a:schemeClr val="bg1">
              <a:lumMod val="50000"/>
            </a:schemeClr>
          </a:fgClr>
          <a:bgClr>
            <a:schemeClr val="bg1"/>
          </a:bgClr>
        </a:pattFill>
        <a:ln>
          <a:noFill/>
        </a:ln>
      </c:spPr>
    </c:plotArea>
    <c:legend>
      <c:legendPos val="r"/>
      <c:layout/>
      <c:overlay val="0"/>
    </c:legend>
    <c:plotVisOnly val="1"/>
    <c:dispBlanksAs val="gap"/>
    <c:showDLblsOverMax val="0"/>
  </c:chart>
  <c:spPr>
    <a:solidFill>
      <a:schemeClr val="bg1">
        <a:lumMod val="75000"/>
      </a:schemeClr>
    </a:solidFill>
    <a:ln>
      <a:noFill/>
    </a:ln>
    <a:scene3d>
      <a:camera prst="orthographicFront"/>
      <a:lightRig rig="threePt" dir="t"/>
    </a:scene3d>
    <a:sp3d>
      <a:bevelT w="50800" h="95250"/>
      <a:bevelB w="25400" h="95250"/>
    </a:sp3d>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1"/>
  <mc:AlternateContent xmlns:mc="http://schemas.openxmlformats.org/markup-compatibility/2006">
    <mc:Choice xmlns:c14="http://schemas.microsoft.com/office/drawing/2007/8/2/chart" Requires="c14">
      <c14:style val="103"/>
    </mc:Choice>
    <mc:Fallback>
      <c:style val="3"/>
    </mc:Fallback>
  </mc:AlternateContent>
  <c:pivotSource>
    <c:name>[SuperMart_Sales_2025 (1).xlsx]Monthly Sales Trend!PivotTable2</c:name>
    <c:fmtId val="4"/>
  </c:pivotSource>
  <c:chart>
    <c:title>
      <c:tx>
        <c:rich>
          <a:bodyPr/>
          <a:lstStyle/>
          <a:p>
            <a:pPr>
              <a:defRPr/>
            </a:pPr>
            <a:r>
              <a:rPr lang="en-US">
                <a:solidFill>
                  <a:srgbClr val="C00000"/>
                </a:solidFill>
              </a:rPr>
              <a:t>Monthly</a:t>
            </a:r>
            <a:r>
              <a:rPr lang="en-US" baseline="0">
                <a:solidFill>
                  <a:srgbClr val="C00000"/>
                </a:solidFill>
              </a:rPr>
              <a:t> Sales Trend</a:t>
            </a:r>
            <a:endParaRPr lang="en-US">
              <a:solidFill>
                <a:srgbClr val="C00000"/>
              </a:solidFill>
            </a:endParaRPr>
          </a:p>
        </c:rich>
      </c:tx>
      <c:layout/>
      <c:overlay val="0"/>
      <c:spPr>
        <a:solidFill>
          <a:schemeClr val="bg1">
            <a:lumMod val="95000"/>
          </a:schemeClr>
        </a:solidFill>
      </c:spPr>
    </c:title>
    <c:autoTitleDeleted val="0"/>
    <c:pivotFmts>
      <c:pivotFmt>
        <c:idx val="0"/>
      </c:pivotFmt>
      <c:pivotFmt>
        <c:idx val="1"/>
      </c:pivotFmt>
      <c:pivotFmt>
        <c:idx val="2"/>
      </c:pivotFmt>
    </c:pivotFmts>
    <c:plotArea>
      <c:layout/>
      <c:lineChart>
        <c:grouping val="standard"/>
        <c:varyColors val="0"/>
        <c:ser>
          <c:idx val="0"/>
          <c:order val="0"/>
          <c:tx>
            <c:strRef>
              <c:f>'Monthly Sales Trend'!$B$3</c:f>
              <c:strCache>
                <c:ptCount val="1"/>
                <c:pt idx="0">
                  <c:v>Total</c:v>
                </c:pt>
              </c:strCache>
            </c:strRef>
          </c:tx>
          <c:cat>
            <c:strRef>
              <c:f>'Monthly Sales Trend'!$A$4</c:f>
              <c:strCache>
                <c:ptCount val="1"/>
                <c:pt idx="0">
                  <c:v>May</c:v>
                </c:pt>
              </c:strCache>
            </c:strRef>
          </c:cat>
          <c:val>
            <c:numRef>
              <c:f>'Monthly Sales Trend'!$B$4</c:f>
              <c:numCache>
                <c:formatCode>General</c:formatCode>
                <c:ptCount val="1"/>
                <c:pt idx="0">
                  <c:v>233908.95</c:v>
                </c:pt>
              </c:numCache>
            </c:numRef>
          </c:val>
          <c:smooth val="0"/>
        </c:ser>
        <c:dLbls>
          <c:showLegendKey val="0"/>
          <c:showVal val="0"/>
          <c:showCatName val="0"/>
          <c:showSerName val="0"/>
          <c:showPercent val="0"/>
          <c:showBubbleSize val="0"/>
        </c:dLbls>
        <c:marker val="1"/>
        <c:smooth val="0"/>
        <c:axId val="178288896"/>
        <c:axId val="235554304"/>
      </c:lineChart>
      <c:catAx>
        <c:axId val="178288896"/>
        <c:scaling>
          <c:orientation val="minMax"/>
        </c:scaling>
        <c:delete val="0"/>
        <c:axPos val="b"/>
        <c:majorTickMark val="out"/>
        <c:minorTickMark val="none"/>
        <c:tickLblPos val="nextTo"/>
        <c:crossAx val="235554304"/>
        <c:crosses val="autoZero"/>
        <c:auto val="1"/>
        <c:lblAlgn val="ctr"/>
        <c:lblOffset val="100"/>
        <c:noMultiLvlLbl val="0"/>
      </c:catAx>
      <c:valAx>
        <c:axId val="235554304"/>
        <c:scaling>
          <c:orientation val="minMax"/>
        </c:scaling>
        <c:delete val="0"/>
        <c:axPos val="l"/>
        <c:majorGridlines>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ajorGridlines>
        <c:numFmt formatCode="General" sourceLinked="1"/>
        <c:majorTickMark val="out"/>
        <c:minorTickMark val="none"/>
        <c:tickLblPos val="nextTo"/>
        <c:crossAx val="178288896"/>
        <c:crosses val="autoZero"/>
        <c:crossBetween val="between"/>
      </c:valAx>
      <c:spPr>
        <a:pattFill prst="pct5">
          <a:fgClr>
            <a:schemeClr val="bg1">
              <a:lumMod val="85000"/>
            </a:schemeClr>
          </a:fgClr>
          <a:bgClr>
            <a:schemeClr val="bg1"/>
          </a:bgClr>
        </a:pattFill>
      </c:spPr>
    </c:plotArea>
    <c:legend>
      <c:legendPos val="r"/>
      <c:layout/>
      <c:overlay val="0"/>
    </c:legend>
    <c:plotVisOnly val="1"/>
    <c:dispBlanksAs val="gap"/>
    <c:showDLblsOverMax val="0"/>
  </c:chart>
  <c:spPr>
    <a:solidFill>
      <a:schemeClr val="bg1">
        <a:lumMod val="85000"/>
      </a:schemeClr>
    </a:solidFill>
    <a:ln>
      <a:noFill/>
    </a:ln>
    <a:scene3d>
      <a:camera prst="orthographicFront"/>
      <a:lightRig rig="threePt" dir="t"/>
    </a:scene3d>
    <a:sp3d>
      <a:bevelT w="19050" h="88900"/>
      <a:bevelB w="12700" h="88900"/>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[SuperMart_Sales_2025 (1).xlsx]Top 5 Product By profit!PivotTable3</c:name>
    <c:fmtId val="2"/>
  </c:pivotSource>
  <c:chart>
    <c:title>
      <c:tx>
        <c:rich>
          <a:bodyPr/>
          <a:lstStyle/>
          <a:p>
            <a:pPr>
              <a:defRPr>
                <a:solidFill>
                  <a:srgbClr val="C00000"/>
                </a:solidFill>
              </a:defRPr>
            </a:pPr>
            <a:r>
              <a:rPr lang="en-US">
                <a:solidFill>
                  <a:srgbClr val="C00000"/>
                </a:solidFill>
              </a:rPr>
              <a:t>Profit Share </a:t>
            </a:r>
            <a:r>
              <a:rPr lang="en-US" sz="1400">
                <a:solidFill>
                  <a:srgbClr val="C00000"/>
                </a:solidFill>
              </a:rPr>
              <a:t>BY</a:t>
            </a:r>
            <a:r>
              <a:rPr lang="en-US">
                <a:solidFill>
                  <a:srgbClr val="C00000"/>
                </a:solidFill>
              </a:rPr>
              <a:t> Category</a:t>
            </a:r>
          </a:p>
        </c:rich>
      </c:tx>
      <c:layout>
        <c:manualLayout>
          <c:xMode val="edge"/>
          <c:yMode val="edge"/>
          <c:x val="0.44374262668385966"/>
          <c:y val="0"/>
        </c:manualLayout>
      </c:layout>
      <c:overlay val="1"/>
      <c:spPr>
        <a:solidFill>
          <a:schemeClr val="bg1">
            <a:lumMod val="95000"/>
          </a:schemeClr>
        </a:solidFill>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14885547843104976"/>
          <c:y val="0.10350211369376425"/>
          <c:w val="0.53383952005999247"/>
          <c:h val="0.54030199484069641"/>
        </c:manualLayout>
      </c:layout>
      <c:barChart>
        <c:barDir val="col"/>
        <c:grouping val="clustered"/>
        <c:varyColors val="0"/>
        <c:ser>
          <c:idx val="0"/>
          <c:order val="0"/>
          <c:tx>
            <c:strRef>
              <c:f>'Top 5 Product By profit'!$B$3</c:f>
              <c:strCache>
                <c:ptCount val="1"/>
                <c:pt idx="0">
                  <c:v>Sum of Total Sales</c:v>
                </c:pt>
              </c:strCache>
            </c:strRef>
          </c:tx>
          <c:invertIfNegative val="0"/>
          <c:cat>
            <c:strRef>
              <c:f>'Top 5 Product By profit'!$A$4</c:f>
              <c:strCache>
                <c:ptCount val="1"/>
                <c:pt idx="0">
                  <c:v>Dell Inspiron</c:v>
                </c:pt>
              </c:strCache>
            </c:strRef>
          </c:cat>
          <c:val>
            <c:numRef>
              <c:f>'Top 5 Product By profit'!$B$4</c:f>
              <c:numCache>
                <c:formatCode>General</c:formatCode>
                <c:ptCount val="1"/>
                <c:pt idx="0">
                  <c:v>233908.95</c:v>
                </c:pt>
              </c:numCache>
            </c:numRef>
          </c:val>
        </c:ser>
        <c:ser>
          <c:idx val="1"/>
          <c:order val="1"/>
          <c:tx>
            <c:strRef>
              <c:f>'Top 5 Product By profit'!$C$3</c:f>
              <c:strCache>
                <c:ptCount val="1"/>
                <c:pt idx="0">
                  <c:v>Sum of Profit</c:v>
                </c:pt>
              </c:strCache>
            </c:strRef>
          </c:tx>
          <c:invertIfNegative val="0"/>
          <c:cat>
            <c:strRef>
              <c:f>'Top 5 Product By profit'!$A$4</c:f>
              <c:strCache>
                <c:ptCount val="1"/>
                <c:pt idx="0">
                  <c:v>Dell Inspiron</c:v>
                </c:pt>
              </c:strCache>
            </c:strRef>
          </c:cat>
          <c:val>
            <c:numRef>
              <c:f>'Top 5 Product By profit'!$C$4</c:f>
              <c:numCache>
                <c:formatCode>General</c:formatCode>
                <c:ptCount val="1"/>
                <c:pt idx="0">
                  <c:v>58788.42</c:v>
                </c:pt>
              </c:numCache>
            </c:numRef>
          </c:val>
        </c:ser>
        <c:dLbls>
          <c:showLegendKey val="0"/>
          <c:showVal val="0"/>
          <c:showCatName val="0"/>
          <c:showSerName val="0"/>
          <c:showPercent val="0"/>
          <c:showBubbleSize val="0"/>
        </c:dLbls>
        <c:gapWidth val="150"/>
        <c:axId val="178292224"/>
        <c:axId val="178293760"/>
      </c:barChart>
      <c:catAx>
        <c:axId val="178292224"/>
        <c:scaling>
          <c:orientation val="minMax"/>
        </c:scaling>
        <c:delete val="0"/>
        <c:axPos val="b"/>
        <c:majorTickMark val="out"/>
        <c:minorTickMark val="none"/>
        <c:tickLblPos val="nextTo"/>
        <c:crossAx val="178293760"/>
        <c:crosses val="autoZero"/>
        <c:auto val="1"/>
        <c:lblAlgn val="ctr"/>
        <c:lblOffset val="100"/>
        <c:noMultiLvlLbl val="0"/>
      </c:catAx>
      <c:valAx>
        <c:axId val="178293760"/>
        <c:scaling>
          <c:orientation val="minMax"/>
        </c:scaling>
        <c:delete val="0"/>
        <c:axPos val="l"/>
        <c:majorGridlines>
          <c:spPr>
            <a:ln>
              <a:noFill/>
            </a:ln>
          </c:spPr>
        </c:majorGridlines>
        <c:numFmt formatCode="General" sourceLinked="1"/>
        <c:majorTickMark val="out"/>
        <c:minorTickMark val="none"/>
        <c:tickLblPos val="nextTo"/>
        <c:crossAx val="178292224"/>
        <c:crosses val="autoZero"/>
        <c:crossBetween val="between"/>
      </c:valAx>
    </c:plotArea>
    <c:legend>
      <c:legendPos val="r"/>
      <c:layout/>
      <c:overlay val="0"/>
    </c:legend>
    <c:plotVisOnly val="1"/>
    <c:dispBlanksAs val="gap"/>
    <c:showDLblsOverMax val="0"/>
  </c:chart>
  <c:spPr>
    <a:solidFill>
      <a:schemeClr val="bg1">
        <a:lumMod val="85000"/>
      </a:schemeClr>
    </a:solidFill>
    <a:ln>
      <a:noFill/>
    </a:ln>
    <a:scene3d>
      <a:camera prst="orthographicFront"/>
      <a:lightRig rig="threePt" dir="t"/>
    </a:scene3d>
    <a:sp3d>
      <a:bevelT w="6350" h="82550"/>
      <a:bevelB w="6350" h="82550"/>
    </a:sp3d>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[SuperMart_Sales_2025 (1).xlsx]Sales Person Performance!PivotTable4</c:name>
    <c:fmtId val="8"/>
  </c:pivotSource>
  <c:chart>
    <c:title>
      <c:tx>
        <c:rich>
          <a:bodyPr/>
          <a:lstStyle/>
          <a:p>
            <a:pPr>
              <a:defRPr sz="1100">
                <a:solidFill>
                  <a:srgbClr val="C00000"/>
                </a:solidFill>
              </a:defRPr>
            </a:pPr>
            <a:r>
              <a:rPr lang="en-GB" sz="1100">
                <a:solidFill>
                  <a:srgbClr val="C00000"/>
                </a:solidFill>
              </a:rPr>
              <a:t>SalesPerson</a:t>
            </a:r>
            <a:r>
              <a:rPr lang="en-GB" sz="1100" baseline="0">
                <a:solidFill>
                  <a:srgbClr val="C00000"/>
                </a:solidFill>
              </a:rPr>
              <a:t> By Performance</a:t>
            </a:r>
            <a:endParaRPr lang="en-GB" sz="1100">
              <a:solidFill>
                <a:srgbClr val="C00000"/>
              </a:solidFill>
            </a:endParaRPr>
          </a:p>
        </c:rich>
      </c:tx>
      <c:layout>
        <c:manualLayout>
          <c:xMode val="edge"/>
          <c:yMode val="edge"/>
          <c:x val="0.53714039421542892"/>
          <c:y val="1.3605442176870748E-2"/>
        </c:manualLayout>
      </c:layout>
      <c:overlay val="1"/>
      <c:spPr>
        <a:solidFill>
          <a:schemeClr val="bg1">
            <a:lumMod val="95000"/>
          </a:schemeClr>
        </a:solidFill>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stacked"/>
        <c:varyColors val="0"/>
        <c:ser>
          <c:idx val="0"/>
          <c:order val="0"/>
          <c:tx>
            <c:strRef>
              <c:f>'Sales Person Performance'!$B$3</c:f>
              <c:strCache>
                <c:ptCount val="1"/>
                <c:pt idx="0">
                  <c:v>Count of Quantity</c:v>
                </c:pt>
              </c:strCache>
            </c:strRef>
          </c:tx>
          <c:invertIfNegative val="0"/>
          <c:cat>
            <c:strRef>
              <c:f>'Sales Person Performance'!$A$4</c:f>
              <c:strCache>
                <c:ptCount val="1"/>
                <c:pt idx="0">
                  <c:v>Rohan Das</c:v>
                </c:pt>
              </c:strCache>
            </c:strRef>
          </c:cat>
          <c:val>
            <c:numRef>
              <c:f>'Sales Person Performance'!$B$4</c:f>
              <c:numCache>
                <c:formatCode>General</c:formatCode>
                <c:ptCount val="1"/>
                <c:pt idx="0">
                  <c:v>1</c:v>
                </c:pt>
              </c:numCache>
            </c:numRef>
          </c:val>
        </c:ser>
        <c:ser>
          <c:idx val="1"/>
          <c:order val="1"/>
          <c:tx>
            <c:strRef>
              <c:f>'Sales Person Performance'!$C$3</c:f>
              <c:strCache>
                <c:ptCount val="1"/>
                <c:pt idx="0">
                  <c:v>Sum of Profit</c:v>
                </c:pt>
              </c:strCache>
            </c:strRef>
          </c:tx>
          <c:invertIfNegative val="0"/>
          <c:cat>
            <c:strRef>
              <c:f>'Sales Person Performance'!$A$4</c:f>
              <c:strCache>
                <c:ptCount val="1"/>
                <c:pt idx="0">
                  <c:v>Rohan Das</c:v>
                </c:pt>
              </c:strCache>
            </c:strRef>
          </c:cat>
          <c:val>
            <c:numRef>
              <c:f>'Sales Person Performance'!$C$4</c:f>
              <c:numCache>
                <c:formatCode>General</c:formatCode>
                <c:ptCount val="1"/>
                <c:pt idx="0">
                  <c:v>58788.42</c:v>
                </c:pt>
              </c:numCache>
            </c:numRef>
          </c:val>
        </c:ser>
        <c:dLbls>
          <c:showLegendKey val="0"/>
          <c:showVal val="0"/>
          <c:showCatName val="0"/>
          <c:showSerName val="0"/>
          <c:showPercent val="0"/>
          <c:showBubbleSize val="0"/>
        </c:dLbls>
        <c:gapWidth val="150"/>
        <c:overlap val="100"/>
        <c:axId val="180094848"/>
        <c:axId val="180096384"/>
      </c:barChart>
      <c:catAx>
        <c:axId val="180094848"/>
        <c:scaling>
          <c:orientation val="minMax"/>
        </c:scaling>
        <c:delete val="0"/>
        <c:axPos val="b"/>
        <c:majorTickMark val="out"/>
        <c:minorTickMark val="none"/>
        <c:tickLblPos val="nextTo"/>
        <c:crossAx val="180096384"/>
        <c:crosses val="autoZero"/>
        <c:auto val="1"/>
        <c:lblAlgn val="ctr"/>
        <c:lblOffset val="100"/>
        <c:noMultiLvlLbl val="0"/>
      </c:catAx>
      <c:valAx>
        <c:axId val="180096384"/>
        <c:scaling>
          <c:orientation val="minMax"/>
        </c:scaling>
        <c:delete val="0"/>
        <c:axPos val="l"/>
        <c:majorGridlines>
          <c:spPr>
            <a:ln>
              <a:noFill/>
            </a:ln>
          </c:spPr>
        </c:majorGridlines>
        <c:numFmt formatCode="General" sourceLinked="1"/>
        <c:majorTickMark val="out"/>
        <c:minorTickMark val="none"/>
        <c:tickLblPos val="nextTo"/>
        <c:crossAx val="180094848"/>
        <c:crosses val="autoZero"/>
        <c:crossBetween val="between"/>
      </c:valAx>
    </c:plotArea>
    <c:legend>
      <c:legendPos val="r"/>
      <c:layout/>
      <c:overlay val="0"/>
    </c:legend>
    <c:plotVisOnly val="1"/>
    <c:dispBlanksAs val="gap"/>
    <c:showDLblsOverMax val="0"/>
  </c:chart>
  <c:spPr>
    <a:solidFill>
      <a:schemeClr val="bg1">
        <a:lumMod val="85000"/>
      </a:schemeClr>
    </a:solidFill>
    <a:ln>
      <a:noFill/>
    </a:ln>
    <a:scene3d>
      <a:camera prst="orthographicFront"/>
      <a:lightRig rig="threePt" dir="t"/>
    </a:scene3d>
    <a:sp3d>
      <a:bevelT w="6350" h="82550"/>
      <a:bevelB w="82550" h="6350"/>
    </a:sp3d>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[SuperMart_Sales_2025 (1).xlsx]Category Wise Profit &amp; Discount!PivotTable5</c:name>
    <c:fmtId val="8"/>
  </c:pivotSource>
  <c:chart>
    <c:title>
      <c:tx>
        <c:rich>
          <a:bodyPr/>
          <a:lstStyle/>
          <a:p>
            <a:pPr>
              <a:defRPr sz="1100">
                <a:solidFill>
                  <a:srgbClr val="C00000"/>
                </a:solidFill>
              </a:defRPr>
            </a:pPr>
            <a:r>
              <a:rPr lang="en-GB" sz="1100">
                <a:solidFill>
                  <a:srgbClr val="C00000"/>
                </a:solidFill>
              </a:rPr>
              <a:t>Category</a:t>
            </a:r>
            <a:r>
              <a:rPr lang="en-GB" sz="1100" baseline="0">
                <a:solidFill>
                  <a:srgbClr val="C00000"/>
                </a:solidFill>
              </a:rPr>
              <a:t> Wise Profit </a:t>
            </a:r>
            <a:endParaRPr lang="en-GB" sz="1100">
              <a:solidFill>
                <a:srgbClr val="C00000"/>
              </a:solidFill>
            </a:endParaRPr>
          </a:p>
        </c:rich>
      </c:tx>
      <c:layout>
        <c:manualLayout>
          <c:xMode val="edge"/>
          <c:yMode val="edge"/>
          <c:x val="0.64498353147033094"/>
          <c:y val="3.875968992248062E-2"/>
        </c:manualLayout>
      </c:layout>
      <c:overlay val="1"/>
      <c:spPr>
        <a:solidFill>
          <a:schemeClr val="bg1">
            <a:lumMod val="95000"/>
          </a:schemeClr>
        </a:solidFill>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s>
    <c:plotArea>
      <c:layout/>
      <c:barChart>
        <c:barDir val="col"/>
        <c:grouping val="clustered"/>
        <c:varyColors val="0"/>
        <c:ser>
          <c:idx val="0"/>
          <c:order val="0"/>
          <c:tx>
            <c:strRef>
              <c:f>'Category Wise Profit &amp; Discount'!$B$3</c:f>
              <c:strCache>
                <c:ptCount val="1"/>
                <c:pt idx="0">
                  <c:v>Sum of Total Sales</c:v>
                </c:pt>
              </c:strCache>
            </c:strRef>
          </c:tx>
          <c:invertIfNegative val="0"/>
          <c:cat>
            <c:strRef>
              <c:f>'Category Wise Profit &amp; Discount'!$A$4</c:f>
              <c:strCache>
                <c:ptCount val="1"/>
                <c:pt idx="0">
                  <c:v>Electronics</c:v>
                </c:pt>
              </c:strCache>
            </c:strRef>
          </c:cat>
          <c:val>
            <c:numRef>
              <c:f>'Category Wise Profit &amp; Discount'!$B$4</c:f>
              <c:numCache>
                <c:formatCode>General</c:formatCode>
                <c:ptCount val="1"/>
                <c:pt idx="0">
                  <c:v>233908.95</c:v>
                </c:pt>
              </c:numCache>
            </c:numRef>
          </c:val>
        </c:ser>
        <c:ser>
          <c:idx val="1"/>
          <c:order val="1"/>
          <c:tx>
            <c:strRef>
              <c:f>'Category Wise Profit &amp; Discount'!$C$3</c:f>
              <c:strCache>
                <c:ptCount val="1"/>
                <c:pt idx="0">
                  <c:v>Sum of Profit</c:v>
                </c:pt>
              </c:strCache>
            </c:strRef>
          </c:tx>
          <c:invertIfNegative val="0"/>
          <c:cat>
            <c:strRef>
              <c:f>'Category Wise Profit &amp; Discount'!$A$4</c:f>
              <c:strCache>
                <c:ptCount val="1"/>
                <c:pt idx="0">
                  <c:v>Electronics</c:v>
                </c:pt>
              </c:strCache>
            </c:strRef>
          </c:cat>
          <c:val>
            <c:numRef>
              <c:f>'Category Wise Profit &amp; Discount'!$C$4</c:f>
              <c:numCache>
                <c:formatCode>General</c:formatCode>
                <c:ptCount val="1"/>
                <c:pt idx="0">
                  <c:v>58788.42</c:v>
                </c:pt>
              </c:numCache>
            </c:numRef>
          </c:val>
        </c:ser>
        <c:ser>
          <c:idx val="2"/>
          <c:order val="2"/>
          <c:tx>
            <c:strRef>
              <c:f>'Category Wise Profit &amp; Discount'!$D$3</c:f>
              <c:strCache>
                <c:ptCount val="1"/>
                <c:pt idx="0">
                  <c:v>Average of Discount</c:v>
                </c:pt>
              </c:strCache>
            </c:strRef>
          </c:tx>
          <c:invertIfNegative val="0"/>
          <c:cat>
            <c:strRef>
              <c:f>'Category Wise Profit &amp; Discount'!$A$4</c:f>
              <c:strCache>
                <c:ptCount val="1"/>
                <c:pt idx="0">
                  <c:v>Electronics</c:v>
                </c:pt>
              </c:strCache>
            </c:strRef>
          </c:cat>
          <c:val>
            <c:numRef>
              <c:f>'Category Wise Profit &amp; Discount'!$D$4</c:f>
              <c:numCache>
                <c:formatCode>General</c:formatCode>
                <c:ptCount val="1"/>
                <c:pt idx="0">
                  <c:v>7.0000000000000007E-2</c:v>
                </c:pt>
              </c:numCache>
            </c:numRef>
          </c:val>
        </c:ser>
        <c:dLbls>
          <c:showLegendKey val="0"/>
          <c:showVal val="0"/>
          <c:showCatName val="0"/>
          <c:showSerName val="0"/>
          <c:showPercent val="0"/>
          <c:showBubbleSize val="0"/>
        </c:dLbls>
        <c:gapWidth val="150"/>
        <c:axId val="250283520"/>
        <c:axId val="250285056"/>
      </c:barChart>
      <c:catAx>
        <c:axId val="250283520"/>
        <c:scaling>
          <c:orientation val="minMax"/>
        </c:scaling>
        <c:delete val="0"/>
        <c:axPos val="b"/>
        <c:majorTickMark val="out"/>
        <c:minorTickMark val="none"/>
        <c:tickLblPos val="nextTo"/>
        <c:crossAx val="250285056"/>
        <c:crosses val="autoZero"/>
        <c:auto val="1"/>
        <c:lblAlgn val="ctr"/>
        <c:lblOffset val="100"/>
        <c:noMultiLvlLbl val="0"/>
      </c:catAx>
      <c:valAx>
        <c:axId val="250285056"/>
        <c:scaling>
          <c:orientation val="minMax"/>
        </c:scaling>
        <c:delete val="0"/>
        <c:axPos val="l"/>
        <c:majorGridlines>
          <c:spPr>
            <a:ln>
              <a:noFill/>
            </a:ln>
          </c:spPr>
        </c:majorGridlines>
        <c:numFmt formatCode="General" sourceLinked="1"/>
        <c:majorTickMark val="out"/>
        <c:minorTickMark val="none"/>
        <c:tickLblPos val="nextTo"/>
        <c:crossAx val="250283520"/>
        <c:crosses val="autoZero"/>
        <c:crossBetween val="between"/>
      </c:valAx>
    </c:plotArea>
    <c:legend>
      <c:legendPos val="r"/>
      <c:layout/>
      <c:overlay val="0"/>
    </c:legend>
    <c:plotVisOnly val="1"/>
    <c:dispBlanksAs val="gap"/>
    <c:showDLblsOverMax val="0"/>
  </c:chart>
  <c:spPr>
    <a:solidFill>
      <a:schemeClr val="bg1">
        <a:lumMod val="85000"/>
      </a:schemeClr>
    </a:solidFill>
    <a:ln>
      <a:noFill/>
    </a:ln>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548640</xdr:colOff>
      <xdr:row>2</xdr:row>
      <xdr:rowOff>171450</xdr:rowOff>
    </xdr:from>
    <xdr:to>
      <xdr:col>10</xdr:col>
      <xdr:colOff>22860</xdr:colOff>
      <xdr:row>14</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6</xdr:row>
      <xdr:rowOff>34290</xdr:rowOff>
    </xdr:from>
    <xdr:to>
      <xdr:col>8</xdr:col>
      <xdr:colOff>480060</xdr:colOff>
      <xdr:row>17</xdr:row>
      <xdr:rowOff>167640</xdr:rowOff>
    </xdr:to>
    <xdr:graphicFrame macro="">
      <xdr:nvGraphicFramePr>
        <xdr:cNvPr id="3" name="Chart 2" title="Monthly Sales Trend"/>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312420</xdr:colOff>
      <xdr:row>2</xdr:row>
      <xdr:rowOff>49530</xdr:rowOff>
    </xdr:from>
    <xdr:to>
      <xdr:col>10</xdr:col>
      <xdr:colOff>441960</xdr:colOff>
      <xdr:row>13</xdr:row>
      <xdr:rowOff>68580</xdr:rowOff>
    </xdr:to>
    <xdr:graphicFrame macro="">
      <xdr:nvGraphicFramePr>
        <xdr:cNvPr id="2" name="Chart 1" descr="Top 5 products by profit " title="Top 5 Product by Profi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556260</xdr:colOff>
      <xdr:row>2</xdr:row>
      <xdr:rowOff>87630</xdr:rowOff>
    </xdr:from>
    <xdr:to>
      <xdr:col>11</xdr:col>
      <xdr:colOff>297180</xdr:colOff>
      <xdr:row>14</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3</xdr:row>
      <xdr:rowOff>57150</xdr:rowOff>
    </xdr:from>
    <xdr:to>
      <xdr:col>11</xdr:col>
      <xdr:colOff>358140</xdr:colOff>
      <xdr:row>15</xdr:row>
      <xdr:rowOff>45720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396240</xdr:colOff>
      <xdr:row>2</xdr:row>
      <xdr:rowOff>60960</xdr:rowOff>
    </xdr:from>
    <xdr:to>
      <xdr:col>8</xdr:col>
      <xdr:colOff>480060</xdr:colOff>
      <xdr:row>13</xdr:row>
      <xdr:rowOff>163830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579120</xdr:colOff>
      <xdr:row>2</xdr:row>
      <xdr:rowOff>60960</xdr:rowOff>
    </xdr:from>
    <xdr:to>
      <xdr:col>14</xdr:col>
      <xdr:colOff>441960</xdr:colOff>
      <xdr:row>14</xdr:row>
      <xdr:rowOff>11430</xdr:rowOff>
    </xdr:to>
    <xdr:graphicFrame macro="">
      <xdr:nvGraphicFramePr>
        <xdr:cNvPr id="3" name="Chart 2" title="Monthly Sales Tren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76200</xdr:colOff>
      <xdr:row>1</xdr:row>
      <xdr:rowOff>144780</xdr:rowOff>
    </xdr:from>
    <xdr:to>
      <xdr:col>22</xdr:col>
      <xdr:colOff>182880</xdr:colOff>
      <xdr:row>13</xdr:row>
      <xdr:rowOff>171450</xdr:rowOff>
    </xdr:to>
    <xdr:graphicFrame macro="">
      <xdr:nvGraphicFramePr>
        <xdr:cNvPr id="4" name="Chart 3" descr="Top 5 products by profit " title="Top 5 Product by Profi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434340</xdr:colOff>
      <xdr:row>14</xdr:row>
      <xdr:rowOff>167640</xdr:rowOff>
    </xdr:from>
    <xdr:to>
      <xdr:col>9</xdr:col>
      <xdr:colOff>53340</xdr:colOff>
      <xdr:row>25</xdr:row>
      <xdr:rowOff>22860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152400</xdr:colOff>
      <xdr:row>14</xdr:row>
      <xdr:rowOff>114300</xdr:rowOff>
    </xdr:from>
    <xdr:to>
      <xdr:col>15</xdr:col>
      <xdr:colOff>381000</xdr:colOff>
      <xdr:row>25</xdr:row>
      <xdr:rowOff>68580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68580</xdr:colOff>
      <xdr:row>1</xdr:row>
      <xdr:rowOff>129541</xdr:rowOff>
    </xdr:from>
    <xdr:to>
      <xdr:col>2</xdr:col>
      <xdr:colOff>121920</xdr:colOff>
      <xdr:row>12</xdr:row>
      <xdr:rowOff>76200</xdr:rowOff>
    </xdr:to>
    <mc:AlternateContent xmlns:mc="http://schemas.openxmlformats.org/markup-compatibility/2006">
      <mc:Choice xmlns:a14="http://schemas.microsoft.com/office/drawing/2010/main" Requires="a14">
        <xdr:graphicFrame macro="">
          <xdr:nvGraphicFramePr>
            <xdr:cNvPr id="7"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8580" y="312421"/>
              <a:ext cx="1272540" cy="1958339"/>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23</xdr:row>
      <xdr:rowOff>60959</xdr:rowOff>
    </xdr:from>
    <xdr:to>
      <xdr:col>2</xdr:col>
      <xdr:colOff>7620</xdr:colOff>
      <xdr:row>31</xdr:row>
      <xdr:rowOff>121920</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440" y="4267199"/>
              <a:ext cx="1135380" cy="1524001"/>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12</xdr:row>
      <xdr:rowOff>152401</xdr:rowOff>
    </xdr:from>
    <xdr:to>
      <xdr:col>2</xdr:col>
      <xdr:colOff>83820</xdr:colOff>
      <xdr:row>22</xdr:row>
      <xdr:rowOff>121920</xdr:rowOff>
    </xdr:to>
    <mc:AlternateContent xmlns:mc="http://schemas.openxmlformats.org/markup-compatibility/2006">
      <mc:Choice xmlns:a14="http://schemas.microsoft.com/office/drawing/2010/main" Requires="a14">
        <xdr:graphicFrame macro="">
          <xdr:nvGraphicFramePr>
            <xdr:cNvPr id="9" name="MonthName"/>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dr:sp macro="" textlink="">
          <xdr:nvSpPr>
            <xdr:cNvPr id="0" name=""/>
            <xdr:cNvSpPr>
              <a:spLocks noTextEdit="1"/>
            </xdr:cNvSpPr>
          </xdr:nvSpPr>
          <xdr:spPr>
            <a:xfrm>
              <a:off x="53340" y="2346961"/>
              <a:ext cx="1249680" cy="1798319"/>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72.513261574073" createdVersion="4" refreshedVersion="4" minRefreshableVersion="3" recordCount="500">
  <cacheSource type="worksheet">
    <worksheetSource name="TblSales"/>
  </cacheSource>
  <cacheFields count="17">
    <cacheField name="Order ID" numFmtId="0">
      <sharedItems/>
    </cacheField>
    <cacheField name="Date" numFmtId="14">
      <sharedItems/>
    </cacheField>
    <cacheField name="Customer Name" numFmtId="0">
      <sharedItems/>
    </cacheField>
    <cacheField name="Product Category" numFmtId="0">
      <sharedItems count="4">
        <s v="Appliances"/>
        <s v="Furniture"/>
        <s v="Clothing"/>
        <s v="Electronics"/>
      </sharedItems>
    </cacheField>
    <cacheField name="Sub-Category" numFmtId="0">
      <sharedItems/>
    </cacheField>
    <cacheField name="Product Name" numFmtId="0">
      <sharedItems count="64">
        <s v="Bosch 7kg"/>
        <s v="Study Table"/>
        <s v="IFB 20L"/>
        <s v="Metal Rack"/>
        <s v="LG Double Door"/>
        <s v="Slim Fit Jeans"/>
        <s v="Samsung Galaxy A14"/>
        <s v="iPad Air"/>
        <s v="Mesh Chair"/>
        <s v="Prestige Iris"/>
        <s v="Regular Fit Jeans"/>
        <s v="Recliner Sofa"/>
        <s v="LG Top Load"/>
        <s v="Realme Pad"/>
        <s v="3-Seater Sofa"/>
        <s v="LG 28L"/>
        <s v="Dining Table"/>
        <s v="JBL Tune 760NC"/>
        <s v="Asus Vivobook"/>
        <s v="Samsung 23L"/>
        <s v="Stretch Jeans"/>
        <s v="Glass Bookshelf"/>
        <s v="Formal Shirt"/>
        <s v="Casual Shirt"/>
        <s v="Lenovo Tab M10"/>
        <s v="Denim Shirt"/>
        <s v="Leather Jacket"/>
        <s v="Casual Dress"/>
        <s v="Redmi Note 12"/>
        <s v="Wooden Bookshelf"/>
        <s v="Whirlpool 190L"/>
        <s v="Winter Coat"/>
        <s v="Godrej 210L"/>
        <s v="Lenovo IdeaPad"/>
        <s v="Computer Table"/>
        <s v="Sujata Dynamix"/>
        <s v="Hooded Jacket"/>
        <s v="Check Shirt"/>
        <s v="Ergo Chair"/>
        <s v="Panasonic 25L"/>
        <s v="Dell Inspiron"/>
        <s v="Denim Jacket"/>
        <s v="Corner Bookshelf"/>
        <s v="Tapered Jeans"/>
        <s v="Samsung Tab S6"/>
        <s v="Party Dress"/>
        <s v="Executive Chair"/>
        <s v="Samsung EcoBubble"/>
        <s v="IFB Front Load"/>
        <s v="Boat Rockerz 550"/>
        <s v="iPhone 13"/>
        <s v="Office Chair Pro"/>
        <s v="Leather Sofa"/>
        <s v="Bajaj Rex 500W"/>
        <s v="L-Shaped Sofa"/>
        <s v="Zebronics Zeb-Duke"/>
        <s v="Realme Narzo 60"/>
        <s v="Evening Gown"/>
        <s v="HP Pavilion 15"/>
        <s v="Sony WH-1000XM5"/>
        <s v="Summer Dress"/>
        <s v="Philips HL7756"/>
        <s v="Coffee Table"/>
        <s v="Samsung Frost Free"/>
      </sharedItems>
    </cacheField>
    <cacheField name="Salesperson" numFmtId="0">
      <sharedItems count="8">
        <s v="Riya Gupta"/>
        <s v="Aman Singh"/>
        <s v="Simran Kaur"/>
        <s v="Rohan Das"/>
        <s v="Neha Joshi"/>
        <s v="Kavita Rao"/>
        <s v="Ankit Mehra"/>
        <s v="Vikas Patel"/>
      </sharedItems>
    </cacheField>
    <cacheField name="Region" numFmtId="0">
      <sharedItems count="4">
        <s v="South"/>
        <s v="North"/>
        <s v="West"/>
        <s v="East"/>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1196" maxValue="59980"/>
    </cacheField>
    <cacheField name="Discount" numFmtId="0">
      <sharedItems containsSemiMixedTypes="0" containsString="0" containsNumber="1" minValue="0.02" maxValue="0.15"/>
    </cacheField>
    <cacheField name="Total Sales" numFmtId="2">
      <sharedItems containsSemiMixedTypes="0" containsString="0" containsNumber="1" minValue="2152.8000000000002" maxValue="287959.05"/>
    </cacheField>
    <cacheField name="Cost" numFmtId="2">
      <sharedItems containsSemiMixedTypes="0" containsString="0" containsNumber="1" minValue="1896.61" maxValue="233574.94"/>
    </cacheField>
    <cacheField name="Profit" numFmtId="2">
      <sharedItems containsSemiMixedTypes="0" containsString="0" containsNumber="1" minValue="256.19" maxValue="81616.679999999993"/>
    </cacheField>
    <cacheField name="MonthNum" numFmtId="0">
      <sharedItems containsSemiMixedTypes="0" containsString="0" containsNumber="1" containsInteger="1" minValue="1" maxValue="10"/>
    </cacheField>
    <cacheField name="MonthName" numFmtId="0">
      <sharedItems count="10">
        <s v="Apr"/>
        <s v="Jun"/>
        <s v="Feb"/>
        <s v="Sep"/>
        <s v="Jan"/>
        <s v="May"/>
        <s v="Aug"/>
        <s v="Mar"/>
        <s v="Jul"/>
        <s v="Oct"/>
      </sharedItems>
    </cacheField>
    <cacheField name="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1001"/>
    <s v="14-Apr-2025"/>
    <s v="Aman Tiwari"/>
    <x v="0"/>
    <s v="Washing Machine"/>
    <x v="0"/>
    <x v="0"/>
    <x v="0"/>
    <n v="5"/>
    <n v="52061"/>
    <n v="0.11"/>
    <n v="231671.45"/>
    <n v="187803.16"/>
    <n v="43868.29"/>
    <n v="4"/>
    <x v="0"/>
    <n v="2025"/>
  </r>
  <r>
    <s v="O-1002"/>
    <s v="09-Jun-2025"/>
    <s v="Pooja Jain"/>
    <x v="1"/>
    <s v="Table"/>
    <x v="1"/>
    <x v="1"/>
    <x v="1"/>
    <n v="5"/>
    <n v="5012"/>
    <n v="0.11"/>
    <n v="22303.4"/>
    <n v="15744.31"/>
    <n v="6559.09"/>
    <n v="6"/>
    <x v="1"/>
    <n v="2025"/>
  </r>
  <r>
    <s v="O-1003"/>
    <s v="12-Apr-2025"/>
    <s v="Kiran Singh"/>
    <x v="0"/>
    <s v="Washing Machine"/>
    <x v="0"/>
    <x v="2"/>
    <x v="2"/>
    <n v="4"/>
    <n v="35352"/>
    <n v="0.09"/>
    <n v="128681.28"/>
    <n v="110730.22"/>
    <n v="17951.060000000001"/>
    <n v="4"/>
    <x v="0"/>
    <n v="2025"/>
  </r>
  <r>
    <s v="O-1004"/>
    <s v="04-Feb-2025"/>
    <s v="Ravi Patel"/>
    <x v="0"/>
    <s v="Microwave"/>
    <x v="2"/>
    <x v="3"/>
    <x v="1"/>
    <n v="4"/>
    <n v="40081"/>
    <n v="0.02"/>
    <n v="157117.51999999999"/>
    <n v="125971.64"/>
    <n v="31145.88"/>
    <n v="2"/>
    <x v="2"/>
    <n v="2025"/>
  </r>
  <r>
    <s v="O-1005"/>
    <s v="22-Sep-2025"/>
    <s v="Aman Tiwari"/>
    <x v="1"/>
    <s v="Bookshelf"/>
    <x v="3"/>
    <x v="4"/>
    <x v="2"/>
    <n v="1"/>
    <n v="24914"/>
    <n v="0.06"/>
    <n v="23419.16"/>
    <n v="20772.84"/>
    <n v="2646.32"/>
    <n v="9"/>
    <x v="3"/>
    <n v="2025"/>
  </r>
  <r>
    <s v="O-1006"/>
    <s v="30-Jun-2025"/>
    <s v="Aman Tiwari"/>
    <x v="0"/>
    <s v="Refrigerator"/>
    <x v="4"/>
    <x v="4"/>
    <x v="0"/>
    <n v="5"/>
    <n v="48252"/>
    <n v="0.1"/>
    <n v="217134"/>
    <n v="176588.42"/>
    <n v="40545.58"/>
    <n v="6"/>
    <x v="1"/>
    <n v="2025"/>
  </r>
  <r>
    <s v="O-1007"/>
    <s v="29-Jan-2025"/>
    <s v="Deepak Chauhan"/>
    <x v="2"/>
    <s v="Jeans"/>
    <x v="5"/>
    <x v="2"/>
    <x v="3"/>
    <n v="4"/>
    <n v="48263"/>
    <n v="0.09"/>
    <n v="175677.32"/>
    <n v="143606.46"/>
    <n v="32070.86"/>
    <n v="1"/>
    <x v="4"/>
    <n v="2025"/>
  </r>
  <r>
    <s v="O-1008"/>
    <s v="14-Jan-2025"/>
    <s v="Nikhil Joshi"/>
    <x v="3"/>
    <s v="Mobile"/>
    <x v="6"/>
    <x v="0"/>
    <x v="3"/>
    <n v="4"/>
    <n v="34950"/>
    <n v="0.1"/>
    <n v="125820"/>
    <n v="97561.96"/>
    <n v="28258.04"/>
    <n v="1"/>
    <x v="4"/>
    <n v="2025"/>
  </r>
  <r>
    <s v="O-1009"/>
    <s v="04-May-2025"/>
    <s v="Deepak Chauhan"/>
    <x v="3"/>
    <s v="Tablet"/>
    <x v="7"/>
    <x v="5"/>
    <x v="3"/>
    <n v="4"/>
    <n v="51240"/>
    <n v="0.13"/>
    <n v="178315.2"/>
    <n v="125248.13"/>
    <n v="53067.07"/>
    <n v="5"/>
    <x v="5"/>
    <n v="2025"/>
  </r>
  <r>
    <s v="O-1010"/>
    <s v="11-Aug-2025"/>
    <s v="Deepak Chauhan"/>
    <x v="1"/>
    <s v="Chair"/>
    <x v="8"/>
    <x v="5"/>
    <x v="1"/>
    <n v="2"/>
    <n v="19368"/>
    <n v="0.04"/>
    <n v="37186.559999999998"/>
    <n v="27432.52"/>
    <n v="9754.0400000000009"/>
    <n v="8"/>
    <x v="6"/>
    <n v="2025"/>
  </r>
  <r>
    <s v="O-1011"/>
    <s v="17-Apr-2025"/>
    <s v="Deepak Chauhan"/>
    <x v="0"/>
    <s v="Mixer"/>
    <x v="9"/>
    <x v="3"/>
    <x v="0"/>
    <n v="5"/>
    <n v="3180"/>
    <n v="0.13"/>
    <n v="13833"/>
    <n v="9960.5"/>
    <n v="3872.5"/>
    <n v="4"/>
    <x v="0"/>
    <n v="2025"/>
  </r>
  <r>
    <s v="O-1012"/>
    <s v="25-Mar-2025"/>
    <s v="Ravi Patel"/>
    <x v="2"/>
    <s v="Jeans"/>
    <x v="10"/>
    <x v="2"/>
    <x v="1"/>
    <n v="3"/>
    <n v="22021"/>
    <n v="0.09"/>
    <n v="60117.33"/>
    <n v="43125.99"/>
    <n v="16991.34"/>
    <n v="3"/>
    <x v="7"/>
    <n v="2025"/>
  </r>
  <r>
    <s v="O-1013"/>
    <s v="31-Mar-2025"/>
    <s v="Pooja Jain"/>
    <x v="1"/>
    <s v="Sofa"/>
    <x v="11"/>
    <x v="3"/>
    <x v="2"/>
    <n v="2"/>
    <n v="42872"/>
    <n v="0.1"/>
    <n v="77169.600000000006"/>
    <n v="61036.31"/>
    <n v="16133.29"/>
    <n v="3"/>
    <x v="7"/>
    <n v="2025"/>
  </r>
  <r>
    <s v="O-1014"/>
    <s v="03-Sep-2025"/>
    <s v="Meena Verma"/>
    <x v="0"/>
    <s v="Washing Machine"/>
    <x v="12"/>
    <x v="1"/>
    <x v="0"/>
    <n v="2"/>
    <n v="18839"/>
    <n v="0.11"/>
    <n v="33533.42"/>
    <n v="23484.7"/>
    <n v="10048.719999999999"/>
    <n v="9"/>
    <x v="3"/>
    <n v="2025"/>
  </r>
  <r>
    <s v="O-1015"/>
    <s v="02-Jul-2025"/>
    <s v="Suman Rao"/>
    <x v="3"/>
    <s v="Tablet"/>
    <x v="13"/>
    <x v="3"/>
    <x v="1"/>
    <n v="4"/>
    <n v="59289"/>
    <n v="0.14000000000000001"/>
    <n v="203954.16"/>
    <n v="169918.11"/>
    <n v="34036.050000000003"/>
    <n v="7"/>
    <x v="8"/>
    <n v="2025"/>
  </r>
  <r>
    <s v="O-1016"/>
    <s v="29-Mar-2025"/>
    <s v="Suman Rao"/>
    <x v="1"/>
    <s v="Sofa"/>
    <x v="14"/>
    <x v="1"/>
    <x v="3"/>
    <n v="3"/>
    <n v="59330"/>
    <n v="0.03"/>
    <n v="172650.3"/>
    <n v="145556.79999999999"/>
    <n v="27093.5"/>
    <n v="3"/>
    <x v="7"/>
    <n v="2025"/>
  </r>
  <r>
    <s v="O-1017"/>
    <s v="08-Oct-2025"/>
    <s v="Meena Verma"/>
    <x v="0"/>
    <s v="Microwave"/>
    <x v="15"/>
    <x v="2"/>
    <x v="3"/>
    <n v="1"/>
    <n v="27435"/>
    <n v="0.05"/>
    <n v="26063.25"/>
    <n v="22552.38"/>
    <n v="3510.87"/>
    <n v="10"/>
    <x v="9"/>
    <n v="2025"/>
  </r>
  <r>
    <s v="O-1018"/>
    <s v="25-Mar-2025"/>
    <s v="Raj Sharma"/>
    <x v="1"/>
    <s v="Table"/>
    <x v="16"/>
    <x v="4"/>
    <x v="1"/>
    <n v="5"/>
    <n v="36424"/>
    <n v="0.06"/>
    <n v="171192.8"/>
    <n v="145310.29999999999"/>
    <n v="25882.5"/>
    <n v="3"/>
    <x v="7"/>
    <n v="2025"/>
  </r>
  <r>
    <s v="O-1019"/>
    <s v="19-Jul-2025"/>
    <s v="Pooja Jain"/>
    <x v="3"/>
    <s v="Headphones"/>
    <x v="17"/>
    <x v="5"/>
    <x v="1"/>
    <n v="4"/>
    <n v="59360"/>
    <n v="0.08"/>
    <n v="218444.79999999999"/>
    <n v="185795.89"/>
    <n v="32648.91"/>
    <n v="7"/>
    <x v="8"/>
    <n v="2025"/>
  </r>
  <r>
    <s v="O-1020"/>
    <s v="30-Apr-2025"/>
    <s v="Pooja Jain"/>
    <x v="3"/>
    <s v="Laptop"/>
    <x v="18"/>
    <x v="6"/>
    <x v="0"/>
    <n v="3"/>
    <n v="24674"/>
    <n v="0.08"/>
    <n v="68100.240000000005"/>
    <n v="54373.440000000002"/>
    <n v="13726.8"/>
    <n v="4"/>
    <x v="0"/>
    <n v="2025"/>
  </r>
  <r>
    <s v="O-1021"/>
    <s v="04-Oct-2025"/>
    <s v="Ravi Patel"/>
    <x v="0"/>
    <s v="Microwave"/>
    <x v="15"/>
    <x v="0"/>
    <x v="1"/>
    <n v="1"/>
    <n v="47375"/>
    <n v="0.05"/>
    <n v="45006.25"/>
    <n v="31523.27"/>
    <n v="13482.98"/>
    <n v="10"/>
    <x v="9"/>
    <n v="2025"/>
  </r>
  <r>
    <s v="O-1022"/>
    <s v="11-May-2025"/>
    <s v="Tanya Kapoor"/>
    <x v="0"/>
    <s v="Microwave"/>
    <x v="19"/>
    <x v="6"/>
    <x v="1"/>
    <n v="2"/>
    <n v="53219"/>
    <n v="7.0000000000000007E-2"/>
    <n v="98987.34"/>
    <n v="77119.259999999995"/>
    <n v="21868.080000000002"/>
    <n v="5"/>
    <x v="5"/>
    <n v="2025"/>
  </r>
  <r>
    <s v="O-1023"/>
    <s v="29-Jan-2025"/>
    <s v="Nikhil Joshi"/>
    <x v="2"/>
    <s v="Jeans"/>
    <x v="20"/>
    <x v="2"/>
    <x v="0"/>
    <n v="3"/>
    <n v="29706"/>
    <n v="0.05"/>
    <n v="84662.1"/>
    <n v="61193.48"/>
    <n v="23468.62"/>
    <n v="1"/>
    <x v="4"/>
    <n v="2025"/>
  </r>
  <r>
    <s v="O-1024"/>
    <s v="12-Oct-2025"/>
    <s v="Meena Verma"/>
    <x v="3"/>
    <s v="Tablet"/>
    <x v="13"/>
    <x v="7"/>
    <x v="2"/>
    <n v="5"/>
    <n v="29939"/>
    <n v="0.14000000000000001"/>
    <n v="128737.7"/>
    <n v="98237.55"/>
    <n v="30500.15"/>
    <n v="10"/>
    <x v="9"/>
    <n v="2025"/>
  </r>
  <r>
    <s v="O-1025"/>
    <s v="29-Sep-2025"/>
    <s v="Deepak Chauhan"/>
    <x v="0"/>
    <s v="Refrigerator"/>
    <x v="4"/>
    <x v="5"/>
    <x v="3"/>
    <n v="2"/>
    <n v="40625"/>
    <n v="0.04"/>
    <n v="78000"/>
    <n v="59099.31"/>
    <n v="18900.689999999999"/>
    <n v="9"/>
    <x v="3"/>
    <n v="2025"/>
  </r>
  <r>
    <s v="O-1026"/>
    <s v="17-Jul-2025"/>
    <s v="Nikhil Joshi"/>
    <x v="1"/>
    <s v="Bookshelf"/>
    <x v="21"/>
    <x v="5"/>
    <x v="1"/>
    <n v="2"/>
    <n v="1196"/>
    <n v="0.1"/>
    <n v="2152.8000000000002"/>
    <n v="1896.61"/>
    <n v="256.19"/>
    <n v="7"/>
    <x v="8"/>
    <n v="2025"/>
  </r>
  <r>
    <s v="O-1027"/>
    <s v="27-Jul-2025"/>
    <s v="Kiran Singh"/>
    <x v="2"/>
    <s v="Shirt"/>
    <x v="22"/>
    <x v="1"/>
    <x v="2"/>
    <n v="5"/>
    <n v="7291"/>
    <n v="0.12"/>
    <n v="32080.400000000001"/>
    <n v="28564.59"/>
    <n v="3515.81"/>
    <n v="7"/>
    <x v="8"/>
    <n v="2025"/>
  </r>
  <r>
    <s v="O-1028"/>
    <s v="01-Aug-2025"/>
    <s v="Raj Sharma"/>
    <x v="2"/>
    <s v="Shirt"/>
    <x v="23"/>
    <x v="5"/>
    <x v="0"/>
    <n v="5"/>
    <n v="50874"/>
    <n v="0.06"/>
    <n v="239107.8"/>
    <n v="191798.54"/>
    <n v="47309.26"/>
    <n v="8"/>
    <x v="6"/>
    <n v="2025"/>
  </r>
  <r>
    <s v="O-1029"/>
    <s v="06-Jun-2025"/>
    <s v="Aman Tiwari"/>
    <x v="3"/>
    <s v="Tablet"/>
    <x v="24"/>
    <x v="6"/>
    <x v="3"/>
    <n v="5"/>
    <n v="54802"/>
    <n v="0.06"/>
    <n v="257569.4"/>
    <n v="208532.06"/>
    <n v="49037.34"/>
    <n v="6"/>
    <x v="1"/>
    <n v="2025"/>
  </r>
  <r>
    <s v="O-1030"/>
    <s v="21-Oct-2025"/>
    <s v="Ravi Patel"/>
    <x v="2"/>
    <s v="Shirt"/>
    <x v="25"/>
    <x v="2"/>
    <x v="0"/>
    <n v="3"/>
    <n v="36700"/>
    <n v="0.12"/>
    <n v="96888"/>
    <n v="74390.59"/>
    <n v="22497.41"/>
    <n v="10"/>
    <x v="9"/>
    <n v="2025"/>
  </r>
  <r>
    <s v="O-1031"/>
    <s v="03-Mar-2025"/>
    <s v="Suman Rao"/>
    <x v="2"/>
    <s v="Jacket"/>
    <x v="26"/>
    <x v="1"/>
    <x v="2"/>
    <n v="3"/>
    <n v="31500"/>
    <n v="0.06"/>
    <n v="88830"/>
    <n v="64538.62"/>
    <n v="24291.38"/>
    <n v="3"/>
    <x v="7"/>
    <n v="2025"/>
  </r>
  <r>
    <s v="O-1032"/>
    <s v="25-May-2025"/>
    <s v="Pooja Jain"/>
    <x v="1"/>
    <s v="Table"/>
    <x v="1"/>
    <x v="0"/>
    <x v="2"/>
    <n v="3"/>
    <n v="43706"/>
    <n v="0.11"/>
    <n v="116695.02"/>
    <n v="82281.210000000006"/>
    <n v="34413.81"/>
    <n v="5"/>
    <x v="5"/>
    <n v="2025"/>
  </r>
  <r>
    <s v="O-1033"/>
    <s v="12-Sep-2025"/>
    <s v="Meena Verma"/>
    <x v="2"/>
    <s v="Jacket"/>
    <x v="26"/>
    <x v="4"/>
    <x v="2"/>
    <n v="5"/>
    <n v="51402"/>
    <n v="0.11"/>
    <n v="228738.9"/>
    <n v="194315.7"/>
    <n v="34423.199999999997"/>
    <n v="9"/>
    <x v="3"/>
    <n v="2025"/>
  </r>
  <r>
    <s v="O-1034"/>
    <s v="26-Aug-2025"/>
    <s v="Kiran Singh"/>
    <x v="2"/>
    <s v="Dress"/>
    <x v="27"/>
    <x v="5"/>
    <x v="3"/>
    <n v="1"/>
    <n v="44710"/>
    <n v="0.14000000000000001"/>
    <n v="38450.6"/>
    <n v="28240.799999999999"/>
    <n v="10209.799999999999"/>
    <n v="8"/>
    <x v="6"/>
    <n v="2025"/>
  </r>
  <r>
    <s v="O-1035"/>
    <s v="26-Jan-2025"/>
    <s v="Raj Sharma"/>
    <x v="0"/>
    <s v="Washing Machine"/>
    <x v="12"/>
    <x v="6"/>
    <x v="2"/>
    <n v="5"/>
    <n v="29803"/>
    <n v="0.09"/>
    <n v="135603.65"/>
    <n v="110881.63"/>
    <n v="24722.02"/>
    <n v="1"/>
    <x v="4"/>
    <n v="2025"/>
  </r>
  <r>
    <s v="O-1036"/>
    <s v="24-May-2025"/>
    <s v="Kiran Singh"/>
    <x v="3"/>
    <s v="Mobile"/>
    <x v="28"/>
    <x v="6"/>
    <x v="1"/>
    <n v="3"/>
    <n v="21924"/>
    <n v="0.13"/>
    <n v="57221.64"/>
    <n v="40182.93"/>
    <n v="17038.71"/>
    <n v="5"/>
    <x v="5"/>
    <n v="2025"/>
  </r>
  <r>
    <s v="O-1037"/>
    <s v="04-Jun-2025"/>
    <s v="Ravi Patel"/>
    <x v="3"/>
    <s v="Laptop"/>
    <x v="18"/>
    <x v="2"/>
    <x v="2"/>
    <n v="2"/>
    <n v="43826"/>
    <n v="0.06"/>
    <n v="82392.88"/>
    <n v="69783.92"/>
    <n v="12608.96"/>
    <n v="6"/>
    <x v="1"/>
    <n v="2025"/>
  </r>
  <r>
    <s v="O-1038"/>
    <s v="08-Apr-2025"/>
    <s v="Pooja Jain"/>
    <x v="1"/>
    <s v="Bookshelf"/>
    <x v="29"/>
    <x v="7"/>
    <x v="2"/>
    <n v="2"/>
    <n v="24311"/>
    <n v="0.03"/>
    <n v="47163.34"/>
    <n v="33137.47"/>
    <n v="14025.87"/>
    <n v="4"/>
    <x v="0"/>
    <n v="2025"/>
  </r>
  <r>
    <s v="O-1039"/>
    <s v="19-Mar-2025"/>
    <s v="Meena Verma"/>
    <x v="0"/>
    <s v="Refrigerator"/>
    <x v="30"/>
    <x v="1"/>
    <x v="0"/>
    <n v="1"/>
    <n v="56336"/>
    <n v="0.14000000000000001"/>
    <n v="48448.959999999999"/>
    <n v="41933.97"/>
    <n v="6514.99"/>
    <n v="3"/>
    <x v="7"/>
    <n v="2025"/>
  </r>
  <r>
    <s v="O-1040"/>
    <s v="24-Apr-2025"/>
    <s v="Aman Tiwari"/>
    <x v="2"/>
    <s v="Jacket"/>
    <x v="31"/>
    <x v="6"/>
    <x v="3"/>
    <n v="2"/>
    <n v="15521"/>
    <n v="0.14000000000000001"/>
    <n v="26696.12"/>
    <n v="23968.25"/>
    <n v="2727.87"/>
    <n v="4"/>
    <x v="0"/>
    <n v="2025"/>
  </r>
  <r>
    <s v="O-1041"/>
    <s v="03-Apr-2025"/>
    <s v="Nikhil Joshi"/>
    <x v="1"/>
    <s v="Chair"/>
    <x v="8"/>
    <x v="5"/>
    <x v="2"/>
    <n v="1"/>
    <n v="36030"/>
    <n v="0.09"/>
    <n v="32787.300000000003"/>
    <n v="22985.85"/>
    <n v="9801.4500000000007"/>
    <n v="4"/>
    <x v="0"/>
    <n v="2025"/>
  </r>
  <r>
    <s v="O-1042"/>
    <s v="10-May-2025"/>
    <s v="Raj Sharma"/>
    <x v="0"/>
    <s v="Mixer"/>
    <x v="9"/>
    <x v="2"/>
    <x v="0"/>
    <n v="5"/>
    <n v="50759"/>
    <n v="0.03"/>
    <n v="246181.15"/>
    <n v="208303.4"/>
    <n v="37877.75"/>
    <n v="5"/>
    <x v="5"/>
    <n v="2025"/>
  </r>
  <r>
    <s v="O-1043"/>
    <s v="18-Apr-2025"/>
    <s v="Raj Sharma"/>
    <x v="0"/>
    <s v="Refrigerator"/>
    <x v="32"/>
    <x v="4"/>
    <x v="2"/>
    <n v="1"/>
    <n v="8268"/>
    <n v="7.0000000000000007E-2"/>
    <n v="7689.24"/>
    <n v="5942.92"/>
    <n v="1746.32"/>
    <n v="4"/>
    <x v="0"/>
    <n v="2025"/>
  </r>
  <r>
    <s v="O-1044"/>
    <s v="11-Aug-2025"/>
    <s v="Raj Sharma"/>
    <x v="3"/>
    <s v="Laptop"/>
    <x v="33"/>
    <x v="0"/>
    <x v="2"/>
    <n v="3"/>
    <n v="52136"/>
    <n v="0.12"/>
    <n v="137639.04000000001"/>
    <n v="117413.69"/>
    <n v="20225.349999999999"/>
    <n v="8"/>
    <x v="6"/>
    <n v="2025"/>
  </r>
  <r>
    <s v="O-1045"/>
    <s v="17-Oct-2025"/>
    <s v="Nikhil Joshi"/>
    <x v="2"/>
    <s v="Dress"/>
    <x v="27"/>
    <x v="0"/>
    <x v="2"/>
    <n v="5"/>
    <n v="39879"/>
    <n v="0.04"/>
    <n v="191419.2"/>
    <n v="151693.17000000001"/>
    <n v="39726.03"/>
    <n v="10"/>
    <x v="9"/>
    <n v="2025"/>
  </r>
  <r>
    <s v="O-1046"/>
    <s v="21-Jul-2025"/>
    <s v="Suman Rao"/>
    <x v="1"/>
    <s v="Table"/>
    <x v="34"/>
    <x v="2"/>
    <x v="1"/>
    <n v="3"/>
    <n v="35632"/>
    <n v="0.08"/>
    <n v="98344.320000000007"/>
    <n v="87624.89"/>
    <n v="10719.43"/>
    <n v="7"/>
    <x v="8"/>
    <n v="2025"/>
  </r>
  <r>
    <s v="O-1047"/>
    <s v="20-Jul-2025"/>
    <s v="Nikhil Joshi"/>
    <x v="3"/>
    <s v="Tablet"/>
    <x v="7"/>
    <x v="1"/>
    <x v="1"/>
    <n v="1"/>
    <n v="2874"/>
    <n v="0.09"/>
    <n v="2615.34"/>
    <n v="2131.66"/>
    <n v="483.68"/>
    <n v="7"/>
    <x v="8"/>
    <n v="2025"/>
  </r>
  <r>
    <s v="O-1048"/>
    <s v="09-Aug-2025"/>
    <s v="Deepak Chauhan"/>
    <x v="0"/>
    <s v="Mixer"/>
    <x v="35"/>
    <x v="7"/>
    <x v="0"/>
    <n v="5"/>
    <n v="47703"/>
    <n v="0.02"/>
    <n v="233744.7"/>
    <n v="180538.35"/>
    <n v="53206.35"/>
    <n v="8"/>
    <x v="6"/>
    <n v="2025"/>
  </r>
  <r>
    <s v="O-1049"/>
    <s v="07-Feb-2025"/>
    <s v="Deepak Chauhan"/>
    <x v="2"/>
    <s v="Jacket"/>
    <x v="36"/>
    <x v="2"/>
    <x v="1"/>
    <n v="1"/>
    <n v="16930"/>
    <n v="0.11"/>
    <n v="15067.7"/>
    <n v="12468.66"/>
    <n v="2599.04"/>
    <n v="2"/>
    <x v="2"/>
    <n v="2025"/>
  </r>
  <r>
    <s v="O-1050"/>
    <s v="05-Feb-2025"/>
    <s v="Deepak Chauhan"/>
    <x v="2"/>
    <s v="Shirt"/>
    <x v="37"/>
    <x v="1"/>
    <x v="3"/>
    <n v="3"/>
    <n v="34864"/>
    <n v="0.03"/>
    <n v="101454.24"/>
    <n v="74851.81"/>
    <n v="26602.43"/>
    <n v="2"/>
    <x v="2"/>
    <n v="2025"/>
  </r>
  <r>
    <s v="O-1051"/>
    <s v="03-Mar-2025"/>
    <s v="Kiran Singh"/>
    <x v="0"/>
    <s v="Microwave"/>
    <x v="19"/>
    <x v="6"/>
    <x v="3"/>
    <n v="5"/>
    <n v="8579"/>
    <n v="0.09"/>
    <n v="39034.449999999997"/>
    <n v="32018.79"/>
    <n v="7015.66"/>
    <n v="3"/>
    <x v="7"/>
    <n v="2025"/>
  </r>
  <r>
    <s v="O-1052"/>
    <s v="25-Oct-2025"/>
    <s v="Pooja Jain"/>
    <x v="0"/>
    <s v="Mixer"/>
    <x v="35"/>
    <x v="7"/>
    <x v="2"/>
    <n v="5"/>
    <n v="30287"/>
    <n v="0.06"/>
    <n v="142348.9"/>
    <n v="109768.34"/>
    <n v="32580.560000000001"/>
    <n v="10"/>
    <x v="9"/>
    <n v="2025"/>
  </r>
  <r>
    <s v="O-1053"/>
    <s v="24-Apr-2025"/>
    <s v="Deepak Chauhan"/>
    <x v="1"/>
    <s v="Chair"/>
    <x v="38"/>
    <x v="1"/>
    <x v="1"/>
    <n v="4"/>
    <n v="49418"/>
    <n v="0.06"/>
    <n v="185811.68"/>
    <n v="132023.01"/>
    <n v="53788.67"/>
    <n v="4"/>
    <x v="0"/>
    <n v="2025"/>
  </r>
  <r>
    <s v="O-1054"/>
    <s v="23-Sep-2025"/>
    <s v="Nikhil Joshi"/>
    <x v="0"/>
    <s v="Microwave"/>
    <x v="19"/>
    <x v="1"/>
    <x v="3"/>
    <n v="3"/>
    <n v="51161"/>
    <n v="0.1"/>
    <n v="138134.70000000001"/>
    <n v="122468.56"/>
    <n v="15666.14"/>
    <n v="9"/>
    <x v="3"/>
    <n v="2025"/>
  </r>
  <r>
    <s v="O-1055"/>
    <s v="05-Mar-2025"/>
    <s v="Nikhil Joshi"/>
    <x v="1"/>
    <s v="Chair"/>
    <x v="38"/>
    <x v="7"/>
    <x v="0"/>
    <n v="2"/>
    <n v="43560"/>
    <n v="0.11"/>
    <n v="77536.800000000003"/>
    <n v="66361.490000000005"/>
    <n v="11175.31"/>
    <n v="3"/>
    <x v="7"/>
    <n v="2025"/>
  </r>
  <r>
    <s v="O-1056"/>
    <s v="25-Aug-2025"/>
    <s v="Nikhil Joshi"/>
    <x v="3"/>
    <s v="Tablet"/>
    <x v="13"/>
    <x v="7"/>
    <x v="2"/>
    <n v="1"/>
    <n v="7902"/>
    <n v="7.0000000000000007E-2"/>
    <n v="7348.86"/>
    <n v="6376.94"/>
    <n v="971.92"/>
    <n v="8"/>
    <x v="6"/>
    <n v="2025"/>
  </r>
  <r>
    <s v="O-1057"/>
    <s v="21-Jul-2025"/>
    <s v="Ravi Patel"/>
    <x v="1"/>
    <s v="Sofa"/>
    <x v="14"/>
    <x v="1"/>
    <x v="0"/>
    <n v="2"/>
    <n v="56509"/>
    <n v="0.06"/>
    <n v="106236.92"/>
    <n v="85337.89"/>
    <n v="20899.03"/>
    <n v="7"/>
    <x v="8"/>
    <n v="2025"/>
  </r>
  <r>
    <s v="O-1058"/>
    <s v="06-May-2025"/>
    <s v="Aman Tiwari"/>
    <x v="0"/>
    <s v="Microwave"/>
    <x v="39"/>
    <x v="0"/>
    <x v="1"/>
    <n v="2"/>
    <n v="23986"/>
    <n v="0.04"/>
    <n v="46053.120000000003"/>
    <n v="34485.81"/>
    <n v="11567.31"/>
    <n v="5"/>
    <x v="5"/>
    <n v="2025"/>
  </r>
  <r>
    <s v="O-1059"/>
    <s v="20-Jul-2025"/>
    <s v="Meena Verma"/>
    <x v="1"/>
    <s v="Table"/>
    <x v="16"/>
    <x v="7"/>
    <x v="3"/>
    <n v="2"/>
    <n v="19423"/>
    <n v="0.05"/>
    <n v="36903.699999999997"/>
    <n v="27680.95"/>
    <n v="9222.75"/>
    <n v="7"/>
    <x v="8"/>
    <n v="2025"/>
  </r>
  <r>
    <s v="O-1060"/>
    <s v="28-Jan-2025"/>
    <s v="Suman Rao"/>
    <x v="3"/>
    <s v="Laptop"/>
    <x v="40"/>
    <x v="4"/>
    <x v="0"/>
    <n v="4"/>
    <n v="53368"/>
    <n v="0.12"/>
    <n v="187855.35999999999"/>
    <n v="150521.9"/>
    <n v="37333.46"/>
    <n v="1"/>
    <x v="4"/>
    <n v="2025"/>
  </r>
  <r>
    <s v="O-1061"/>
    <s v="13-Feb-2025"/>
    <s v="Aman Tiwari"/>
    <x v="2"/>
    <s v="Shirt"/>
    <x v="22"/>
    <x v="1"/>
    <x v="2"/>
    <n v="3"/>
    <n v="7244"/>
    <n v="0.11"/>
    <n v="19341.48"/>
    <n v="15711.24"/>
    <n v="3630.24"/>
    <n v="2"/>
    <x v="2"/>
    <n v="2025"/>
  </r>
  <r>
    <s v="O-1062"/>
    <s v="18-Jun-2025"/>
    <s v="Aman Tiwari"/>
    <x v="0"/>
    <s v="Mixer"/>
    <x v="9"/>
    <x v="6"/>
    <x v="3"/>
    <n v="3"/>
    <n v="38880"/>
    <n v="0.04"/>
    <n v="111974.39999999999"/>
    <n v="84615.32"/>
    <n v="27359.08"/>
    <n v="6"/>
    <x v="1"/>
    <n v="2025"/>
  </r>
  <r>
    <s v="O-1063"/>
    <s v="14-Jan-2025"/>
    <s v="Suman Rao"/>
    <x v="3"/>
    <s v="Mobile"/>
    <x v="6"/>
    <x v="0"/>
    <x v="1"/>
    <n v="5"/>
    <n v="29324"/>
    <n v="0.15"/>
    <n v="124627"/>
    <n v="91745.25"/>
    <n v="32881.75"/>
    <n v="1"/>
    <x v="4"/>
    <n v="2025"/>
  </r>
  <r>
    <s v="O-1064"/>
    <s v="10-Sep-2025"/>
    <s v="Tanya Kapoor"/>
    <x v="2"/>
    <s v="Jacket"/>
    <x v="41"/>
    <x v="2"/>
    <x v="3"/>
    <n v="5"/>
    <n v="33150"/>
    <n v="0.11"/>
    <n v="147517.5"/>
    <n v="118529.14"/>
    <n v="28988.36"/>
    <n v="9"/>
    <x v="3"/>
    <n v="2025"/>
  </r>
  <r>
    <s v="O-1065"/>
    <s v="06-Aug-2025"/>
    <s v="Tanya Kapoor"/>
    <x v="1"/>
    <s v="Bookshelf"/>
    <x v="42"/>
    <x v="6"/>
    <x v="2"/>
    <n v="5"/>
    <n v="24420"/>
    <n v="0.14000000000000001"/>
    <n v="105006"/>
    <n v="79667.820000000007"/>
    <n v="25338.18"/>
    <n v="8"/>
    <x v="6"/>
    <n v="2025"/>
  </r>
  <r>
    <s v="O-1066"/>
    <s v="17-May-2025"/>
    <s v="Aman Tiwari"/>
    <x v="3"/>
    <s v="Laptop"/>
    <x v="40"/>
    <x v="3"/>
    <x v="3"/>
    <n v="5"/>
    <n v="50303"/>
    <n v="7.0000000000000007E-2"/>
    <n v="233908.95"/>
    <n v="175120.53"/>
    <n v="58788.42"/>
    <n v="5"/>
    <x v="5"/>
    <n v="2025"/>
  </r>
  <r>
    <s v="O-1067"/>
    <s v="02-Jun-2025"/>
    <s v="Ravi Patel"/>
    <x v="2"/>
    <s v="Jeans"/>
    <x v="43"/>
    <x v="2"/>
    <x v="3"/>
    <n v="5"/>
    <n v="38560"/>
    <n v="0.03"/>
    <n v="187016"/>
    <n v="148078.47"/>
    <n v="38937.53"/>
    <n v="6"/>
    <x v="1"/>
    <n v="2025"/>
  </r>
  <r>
    <s v="O-1068"/>
    <s v="04-Aug-2025"/>
    <s v="Kiran Singh"/>
    <x v="0"/>
    <s v="Mixer"/>
    <x v="9"/>
    <x v="4"/>
    <x v="2"/>
    <n v="2"/>
    <n v="57349"/>
    <n v="0.12"/>
    <n v="100934.24"/>
    <n v="86876.96"/>
    <n v="14057.28"/>
    <n v="8"/>
    <x v="6"/>
    <n v="2025"/>
  </r>
  <r>
    <s v="O-1069"/>
    <s v="11-Mar-2025"/>
    <s v="Pooja Jain"/>
    <x v="0"/>
    <s v="Refrigerator"/>
    <x v="32"/>
    <x v="3"/>
    <x v="0"/>
    <n v="4"/>
    <n v="17897"/>
    <n v="0.15"/>
    <n v="60849.8"/>
    <n v="53542.15"/>
    <n v="7307.65"/>
    <n v="3"/>
    <x v="7"/>
    <n v="2025"/>
  </r>
  <r>
    <s v="O-1070"/>
    <s v="09-Jan-2025"/>
    <s v="Tanya Kapoor"/>
    <x v="1"/>
    <s v="Sofa"/>
    <x v="11"/>
    <x v="4"/>
    <x v="0"/>
    <n v="3"/>
    <n v="13711"/>
    <n v="0.02"/>
    <n v="40310.339999999997"/>
    <n v="34276.25"/>
    <n v="6034.09"/>
    <n v="1"/>
    <x v="4"/>
    <n v="2025"/>
  </r>
  <r>
    <s v="O-1071"/>
    <s v="18-Feb-2025"/>
    <s v="Nikhil Joshi"/>
    <x v="0"/>
    <s v="Microwave"/>
    <x v="19"/>
    <x v="2"/>
    <x v="2"/>
    <n v="2"/>
    <n v="30005"/>
    <n v="0.11"/>
    <n v="53408.9"/>
    <n v="47779.08"/>
    <n v="5629.82"/>
    <n v="2"/>
    <x v="2"/>
    <n v="2025"/>
  </r>
  <r>
    <s v="O-1072"/>
    <s v="20-Jul-2025"/>
    <s v="Raj Sharma"/>
    <x v="0"/>
    <s v="Microwave"/>
    <x v="15"/>
    <x v="2"/>
    <x v="2"/>
    <n v="2"/>
    <n v="6700"/>
    <n v="0.09"/>
    <n v="12194"/>
    <n v="10650.45"/>
    <n v="1543.55"/>
    <n v="7"/>
    <x v="8"/>
    <n v="2025"/>
  </r>
  <r>
    <s v="O-1073"/>
    <s v="06-Oct-2025"/>
    <s v="Pooja Jain"/>
    <x v="3"/>
    <s v="Tablet"/>
    <x v="44"/>
    <x v="7"/>
    <x v="2"/>
    <n v="2"/>
    <n v="47921"/>
    <n v="0.14000000000000001"/>
    <n v="82424.12"/>
    <n v="62906.95"/>
    <n v="19517.169999999998"/>
    <n v="10"/>
    <x v="9"/>
    <n v="2025"/>
  </r>
  <r>
    <s v="O-1074"/>
    <s v="10-Jun-2025"/>
    <s v="Raj Sharma"/>
    <x v="0"/>
    <s v="Microwave"/>
    <x v="39"/>
    <x v="7"/>
    <x v="1"/>
    <n v="5"/>
    <n v="14412"/>
    <n v="0.06"/>
    <n v="67736.399999999994"/>
    <n v="57431.14"/>
    <n v="10305.26"/>
    <n v="6"/>
    <x v="1"/>
    <n v="2025"/>
  </r>
  <r>
    <s v="O-1075"/>
    <s v="27-Jun-2025"/>
    <s v="Tanya Kapoor"/>
    <x v="2"/>
    <s v="Dress"/>
    <x v="45"/>
    <x v="6"/>
    <x v="1"/>
    <n v="3"/>
    <n v="13819"/>
    <n v="0.08"/>
    <n v="38140.44"/>
    <n v="33249.75"/>
    <n v="4890.6899999999996"/>
    <n v="6"/>
    <x v="1"/>
    <n v="2025"/>
  </r>
  <r>
    <s v="O-1076"/>
    <s v="29-Aug-2025"/>
    <s v="Aman Tiwari"/>
    <x v="3"/>
    <s v="Laptop"/>
    <x v="33"/>
    <x v="3"/>
    <x v="1"/>
    <n v="1"/>
    <n v="30468"/>
    <n v="0.06"/>
    <n v="28639.919999999998"/>
    <n v="24940.09"/>
    <n v="3699.83"/>
    <n v="8"/>
    <x v="6"/>
    <n v="2025"/>
  </r>
  <r>
    <s v="O-1077"/>
    <s v="19-Oct-2025"/>
    <s v="Meena Verma"/>
    <x v="0"/>
    <s v="Microwave"/>
    <x v="15"/>
    <x v="1"/>
    <x v="0"/>
    <n v="5"/>
    <n v="53807"/>
    <n v="0.09"/>
    <n v="244821.85"/>
    <n v="189706.67"/>
    <n v="55115.18"/>
    <n v="10"/>
    <x v="9"/>
    <n v="2025"/>
  </r>
  <r>
    <s v="O-1078"/>
    <s v="26-Jun-2025"/>
    <s v="Suman Rao"/>
    <x v="2"/>
    <s v="Jeans"/>
    <x v="20"/>
    <x v="5"/>
    <x v="2"/>
    <n v="5"/>
    <n v="6667"/>
    <n v="0.08"/>
    <n v="30668.2"/>
    <n v="27111.46"/>
    <n v="3556.74"/>
    <n v="6"/>
    <x v="1"/>
    <n v="2025"/>
  </r>
  <r>
    <s v="O-1079"/>
    <s v="06-Sep-2025"/>
    <s v="Pooja Jain"/>
    <x v="1"/>
    <s v="Bookshelf"/>
    <x v="29"/>
    <x v="2"/>
    <x v="0"/>
    <n v="3"/>
    <n v="21359"/>
    <n v="0.03"/>
    <n v="62154.69"/>
    <n v="52401.99"/>
    <n v="9752.7000000000007"/>
    <n v="9"/>
    <x v="3"/>
    <n v="2025"/>
  </r>
  <r>
    <s v="O-1080"/>
    <s v="25-Jan-2025"/>
    <s v="Tanya Kapoor"/>
    <x v="1"/>
    <s v="Sofa"/>
    <x v="14"/>
    <x v="5"/>
    <x v="3"/>
    <n v="2"/>
    <n v="35961"/>
    <n v="0.03"/>
    <n v="69764.34"/>
    <n v="59331.81"/>
    <n v="10432.530000000001"/>
    <n v="1"/>
    <x v="4"/>
    <n v="2025"/>
  </r>
  <r>
    <s v="O-1081"/>
    <s v="07-Jul-2025"/>
    <s v="Pooja Jain"/>
    <x v="1"/>
    <s v="Bookshelf"/>
    <x v="42"/>
    <x v="3"/>
    <x v="2"/>
    <n v="3"/>
    <n v="24818"/>
    <n v="0.13"/>
    <n v="64774.98"/>
    <n v="54891.37"/>
    <n v="9883.61"/>
    <n v="7"/>
    <x v="8"/>
    <n v="2025"/>
  </r>
  <r>
    <s v="O-1082"/>
    <s v="07-Sep-2025"/>
    <s v="Nikhil Joshi"/>
    <x v="1"/>
    <s v="Chair"/>
    <x v="46"/>
    <x v="6"/>
    <x v="2"/>
    <n v="2"/>
    <n v="26525"/>
    <n v="0.02"/>
    <n v="51989"/>
    <n v="44595.55"/>
    <n v="7393.45"/>
    <n v="9"/>
    <x v="3"/>
    <n v="2025"/>
  </r>
  <r>
    <s v="O-1083"/>
    <s v="12-Apr-2025"/>
    <s v="Nikhil Joshi"/>
    <x v="0"/>
    <s v="Mixer"/>
    <x v="9"/>
    <x v="5"/>
    <x v="3"/>
    <n v="3"/>
    <n v="14608"/>
    <n v="0.06"/>
    <n v="41194.559999999998"/>
    <n v="29653.81"/>
    <n v="11540.75"/>
    <n v="4"/>
    <x v="0"/>
    <n v="2025"/>
  </r>
  <r>
    <s v="O-1084"/>
    <s v="29-Sep-2025"/>
    <s v="Deepak Chauhan"/>
    <x v="2"/>
    <s v="Shirt"/>
    <x v="37"/>
    <x v="1"/>
    <x v="3"/>
    <n v="4"/>
    <n v="38029"/>
    <n v="0.11"/>
    <n v="135383.24"/>
    <n v="97964.66"/>
    <n v="37418.58"/>
    <n v="9"/>
    <x v="3"/>
    <n v="2025"/>
  </r>
  <r>
    <s v="O-1085"/>
    <s v="09-Jan-2025"/>
    <s v="Deepak Chauhan"/>
    <x v="3"/>
    <s v="Tablet"/>
    <x v="44"/>
    <x v="0"/>
    <x v="0"/>
    <n v="3"/>
    <n v="36783"/>
    <n v="0.12"/>
    <n v="97107.12"/>
    <n v="76111.45"/>
    <n v="20995.67"/>
    <n v="1"/>
    <x v="4"/>
    <n v="2025"/>
  </r>
  <r>
    <s v="O-1086"/>
    <s v="11-Jan-2025"/>
    <s v="Deepak Chauhan"/>
    <x v="1"/>
    <s v="Sofa"/>
    <x v="14"/>
    <x v="3"/>
    <x v="2"/>
    <n v="4"/>
    <n v="30034"/>
    <n v="0.06"/>
    <n v="112927.84"/>
    <n v="90069.68"/>
    <n v="22858.16"/>
    <n v="1"/>
    <x v="4"/>
    <n v="2025"/>
  </r>
  <r>
    <s v="O-1087"/>
    <s v="05-Feb-2025"/>
    <s v="Meena Verma"/>
    <x v="1"/>
    <s v="Chair"/>
    <x v="8"/>
    <x v="2"/>
    <x v="1"/>
    <n v="5"/>
    <n v="22406"/>
    <n v="0.15"/>
    <n v="95225.5"/>
    <n v="75004.7"/>
    <n v="20220.8"/>
    <n v="2"/>
    <x v="2"/>
    <n v="2025"/>
  </r>
  <r>
    <s v="O-1088"/>
    <s v="09-Feb-2025"/>
    <s v="Kiran Singh"/>
    <x v="0"/>
    <s v="Washing Machine"/>
    <x v="47"/>
    <x v="5"/>
    <x v="3"/>
    <n v="1"/>
    <n v="33528"/>
    <n v="0.14000000000000001"/>
    <n v="28834.080000000002"/>
    <n v="24239.599999999999"/>
    <n v="4594.4799999999996"/>
    <n v="2"/>
    <x v="2"/>
    <n v="2025"/>
  </r>
  <r>
    <s v="O-1089"/>
    <s v="24-Aug-2025"/>
    <s v="Meena Verma"/>
    <x v="3"/>
    <s v="Mobile"/>
    <x v="6"/>
    <x v="3"/>
    <x v="0"/>
    <n v="2"/>
    <n v="26722"/>
    <n v="0.09"/>
    <n v="48634.04"/>
    <n v="39126.1"/>
    <n v="9507.94"/>
    <n v="8"/>
    <x v="6"/>
    <n v="2025"/>
  </r>
  <r>
    <s v="O-1090"/>
    <s v="28-Oct-2025"/>
    <s v="Raj Sharma"/>
    <x v="0"/>
    <s v="Washing Machine"/>
    <x v="47"/>
    <x v="5"/>
    <x v="0"/>
    <n v="2"/>
    <n v="14538"/>
    <n v="0.13"/>
    <n v="25296.12"/>
    <n v="17828.55"/>
    <n v="7467.57"/>
    <n v="10"/>
    <x v="9"/>
    <n v="2025"/>
  </r>
  <r>
    <s v="O-1091"/>
    <s v="15-May-2025"/>
    <s v="Aman Tiwari"/>
    <x v="2"/>
    <s v="Jacket"/>
    <x v="36"/>
    <x v="6"/>
    <x v="0"/>
    <n v="4"/>
    <n v="46600"/>
    <n v="0.13"/>
    <n v="162168"/>
    <n v="132590.85999999999"/>
    <n v="29577.14"/>
    <n v="5"/>
    <x v="5"/>
    <n v="2025"/>
  </r>
  <r>
    <s v="O-1092"/>
    <s v="26-Jan-2025"/>
    <s v="Aman Tiwari"/>
    <x v="3"/>
    <s v="Tablet"/>
    <x v="7"/>
    <x v="6"/>
    <x v="0"/>
    <n v="4"/>
    <n v="55142"/>
    <n v="0.11"/>
    <n v="196305.52"/>
    <n v="171209.39"/>
    <n v="25096.13"/>
    <n v="1"/>
    <x v="4"/>
    <n v="2025"/>
  </r>
  <r>
    <s v="O-1093"/>
    <s v="03-Apr-2025"/>
    <s v="Raj Sharma"/>
    <x v="0"/>
    <s v="Refrigerator"/>
    <x v="30"/>
    <x v="2"/>
    <x v="0"/>
    <n v="3"/>
    <n v="7226"/>
    <n v="0.14000000000000001"/>
    <n v="18643.080000000002"/>
    <n v="15434.23"/>
    <n v="3208.85"/>
    <n v="4"/>
    <x v="0"/>
    <n v="2025"/>
  </r>
  <r>
    <s v="O-1094"/>
    <s v="19-Apr-2025"/>
    <s v="Ravi Patel"/>
    <x v="2"/>
    <s v="Jacket"/>
    <x v="36"/>
    <x v="0"/>
    <x v="3"/>
    <n v="3"/>
    <n v="15844"/>
    <n v="0.06"/>
    <n v="44680.08"/>
    <n v="31411.02"/>
    <n v="13269.06"/>
    <n v="4"/>
    <x v="0"/>
    <n v="2025"/>
  </r>
  <r>
    <s v="O-1095"/>
    <s v="22-Jun-2025"/>
    <s v="Deepak Chauhan"/>
    <x v="3"/>
    <s v="Headphones"/>
    <x v="17"/>
    <x v="3"/>
    <x v="3"/>
    <n v="5"/>
    <n v="31834"/>
    <n v="0.03"/>
    <n v="154394.9"/>
    <n v="110993.56"/>
    <n v="43401.34"/>
    <n v="6"/>
    <x v="1"/>
    <n v="2025"/>
  </r>
  <r>
    <s v="O-1096"/>
    <s v="20-Jul-2025"/>
    <s v="Tanya Kapoor"/>
    <x v="1"/>
    <s v="Bookshelf"/>
    <x v="21"/>
    <x v="4"/>
    <x v="3"/>
    <n v="3"/>
    <n v="16697"/>
    <n v="0.02"/>
    <n v="49089.18"/>
    <n v="42456.97"/>
    <n v="6632.21"/>
    <n v="7"/>
    <x v="8"/>
    <n v="2025"/>
  </r>
  <r>
    <s v="O-1097"/>
    <s v="08-Sep-2025"/>
    <s v="Kiran Singh"/>
    <x v="3"/>
    <s v="Tablet"/>
    <x v="7"/>
    <x v="0"/>
    <x v="1"/>
    <n v="4"/>
    <n v="56644"/>
    <n v="0.14000000000000001"/>
    <n v="194855.36"/>
    <n v="151398.39000000001"/>
    <n v="43456.97"/>
    <n v="9"/>
    <x v="3"/>
    <n v="2025"/>
  </r>
  <r>
    <s v="O-1098"/>
    <s v="16-Jun-2025"/>
    <s v="Meena Verma"/>
    <x v="2"/>
    <s v="Shirt"/>
    <x v="37"/>
    <x v="2"/>
    <x v="1"/>
    <n v="2"/>
    <n v="14411"/>
    <n v="0.05"/>
    <n v="27380.9"/>
    <n v="24112.75"/>
    <n v="3268.15"/>
    <n v="6"/>
    <x v="1"/>
    <n v="2025"/>
  </r>
  <r>
    <s v="O-1099"/>
    <s v="14-Jun-2025"/>
    <s v="Nikhil Joshi"/>
    <x v="2"/>
    <s v="Jacket"/>
    <x v="26"/>
    <x v="4"/>
    <x v="3"/>
    <n v="2"/>
    <n v="8472"/>
    <n v="0.08"/>
    <n v="15588.48"/>
    <n v="11407.19"/>
    <n v="4181.29"/>
    <n v="6"/>
    <x v="1"/>
    <n v="2025"/>
  </r>
  <r>
    <s v="O-1100"/>
    <s v="03-Jan-2025"/>
    <s v="Nikhil Joshi"/>
    <x v="2"/>
    <s v="Jeans"/>
    <x v="43"/>
    <x v="4"/>
    <x v="1"/>
    <n v="3"/>
    <n v="3307"/>
    <n v="0.09"/>
    <n v="9028.11"/>
    <n v="7280.6"/>
    <n v="1747.51"/>
    <n v="1"/>
    <x v="4"/>
    <n v="2025"/>
  </r>
  <r>
    <s v="O-1101"/>
    <s v="31-May-2025"/>
    <s v="Pooja Jain"/>
    <x v="2"/>
    <s v="Shirt"/>
    <x v="22"/>
    <x v="0"/>
    <x v="0"/>
    <n v="2"/>
    <n v="28952"/>
    <n v="7.0000000000000007E-2"/>
    <n v="53850.720000000001"/>
    <n v="43101.88"/>
    <n v="10748.84"/>
    <n v="5"/>
    <x v="5"/>
    <n v="2025"/>
  </r>
  <r>
    <s v="O-1102"/>
    <s v="26-Jan-2025"/>
    <s v="Kiran Singh"/>
    <x v="3"/>
    <s v="Laptop"/>
    <x v="33"/>
    <x v="4"/>
    <x v="0"/>
    <n v="2"/>
    <n v="53323"/>
    <n v="0.11"/>
    <n v="94914.94"/>
    <n v="80083.740000000005"/>
    <n v="14831.2"/>
    <n v="1"/>
    <x v="4"/>
    <n v="2025"/>
  </r>
  <r>
    <s v="O-1103"/>
    <s v="23-May-2025"/>
    <s v="Suman Rao"/>
    <x v="0"/>
    <s v="Microwave"/>
    <x v="15"/>
    <x v="3"/>
    <x v="2"/>
    <n v="3"/>
    <n v="10886"/>
    <n v="0.06"/>
    <n v="30698.52"/>
    <n v="26399.75"/>
    <n v="4298.7700000000004"/>
    <n v="5"/>
    <x v="5"/>
    <n v="2025"/>
  </r>
  <r>
    <s v="O-1104"/>
    <s v="08-Feb-2025"/>
    <s v="Suman Rao"/>
    <x v="3"/>
    <s v="Mobile"/>
    <x v="28"/>
    <x v="7"/>
    <x v="2"/>
    <n v="4"/>
    <n v="41689"/>
    <n v="0.04"/>
    <n v="160085.76000000001"/>
    <n v="136228.45000000001"/>
    <n v="23857.31"/>
    <n v="2"/>
    <x v="2"/>
    <n v="2025"/>
  </r>
  <r>
    <s v="O-1105"/>
    <s v="17-Oct-2025"/>
    <s v="Suman Rao"/>
    <x v="1"/>
    <s v="Table"/>
    <x v="1"/>
    <x v="2"/>
    <x v="3"/>
    <n v="2"/>
    <n v="12777"/>
    <n v="0.15"/>
    <n v="21720.9"/>
    <n v="18482.48"/>
    <n v="3238.42"/>
    <n v="10"/>
    <x v="9"/>
    <n v="2025"/>
  </r>
  <r>
    <s v="O-1106"/>
    <s v="01-Jun-2025"/>
    <s v="Raj Sharma"/>
    <x v="0"/>
    <s v="Washing Machine"/>
    <x v="48"/>
    <x v="0"/>
    <x v="2"/>
    <n v="4"/>
    <n v="19157"/>
    <n v="0.13"/>
    <n v="66666.36"/>
    <n v="59280.12"/>
    <n v="7386.24"/>
    <n v="6"/>
    <x v="1"/>
    <n v="2025"/>
  </r>
  <r>
    <s v="O-1107"/>
    <s v="03-May-2025"/>
    <s v="Aman Tiwari"/>
    <x v="1"/>
    <s v="Chair"/>
    <x v="8"/>
    <x v="0"/>
    <x v="2"/>
    <n v="1"/>
    <n v="15818"/>
    <n v="0.09"/>
    <n v="14394.38"/>
    <n v="10880.98"/>
    <n v="3513.4"/>
    <n v="5"/>
    <x v="5"/>
    <n v="2025"/>
  </r>
  <r>
    <s v="O-1108"/>
    <s v="04-Sep-2025"/>
    <s v="Raj Sharma"/>
    <x v="3"/>
    <s v="Headphones"/>
    <x v="49"/>
    <x v="1"/>
    <x v="0"/>
    <n v="1"/>
    <n v="24812"/>
    <n v="0.15"/>
    <n v="21090.2"/>
    <n v="16169.93"/>
    <n v="4920.2700000000004"/>
    <n v="9"/>
    <x v="3"/>
    <n v="2025"/>
  </r>
  <r>
    <s v="O-1109"/>
    <s v="09-Mar-2025"/>
    <s v="Suman Rao"/>
    <x v="2"/>
    <s v="Dress"/>
    <x v="45"/>
    <x v="1"/>
    <x v="3"/>
    <n v="4"/>
    <n v="7893"/>
    <n v="0.08"/>
    <n v="29046.240000000002"/>
    <n v="25460.36"/>
    <n v="3585.88"/>
    <n v="3"/>
    <x v="7"/>
    <n v="2025"/>
  </r>
  <r>
    <s v="O-1110"/>
    <s v="24-Jan-2025"/>
    <s v="Raj Sharma"/>
    <x v="2"/>
    <s v="Jacket"/>
    <x v="31"/>
    <x v="5"/>
    <x v="0"/>
    <n v="3"/>
    <n v="44923"/>
    <n v="0.13"/>
    <n v="117249.03"/>
    <n v="85468.27"/>
    <n v="31780.76"/>
    <n v="1"/>
    <x v="4"/>
    <n v="2025"/>
  </r>
  <r>
    <s v="O-1111"/>
    <s v="02-Feb-2025"/>
    <s v="Deepak Chauhan"/>
    <x v="3"/>
    <s v="Mobile"/>
    <x v="50"/>
    <x v="6"/>
    <x v="0"/>
    <n v="3"/>
    <n v="3834"/>
    <n v="0.1"/>
    <n v="10351.799999999999"/>
    <n v="7376.87"/>
    <n v="2974.93"/>
    <n v="2"/>
    <x v="2"/>
    <n v="2025"/>
  </r>
  <r>
    <s v="O-1112"/>
    <s v="04-Sep-2025"/>
    <s v="Aman Tiwari"/>
    <x v="0"/>
    <s v="Washing Machine"/>
    <x v="47"/>
    <x v="4"/>
    <x v="3"/>
    <n v="1"/>
    <n v="16453"/>
    <n v="0.06"/>
    <n v="15465.82"/>
    <n v="11571.24"/>
    <n v="3894.58"/>
    <n v="9"/>
    <x v="3"/>
    <n v="2025"/>
  </r>
  <r>
    <s v="O-1113"/>
    <s v="25-Jan-2025"/>
    <s v="Nikhil Joshi"/>
    <x v="1"/>
    <s v="Sofa"/>
    <x v="14"/>
    <x v="7"/>
    <x v="1"/>
    <n v="5"/>
    <n v="40207"/>
    <n v="0.08"/>
    <n v="184952.2"/>
    <n v="142387.94"/>
    <n v="42564.26"/>
    <n v="1"/>
    <x v="4"/>
    <n v="2025"/>
  </r>
  <r>
    <s v="O-1114"/>
    <s v="08-Apr-2025"/>
    <s v="Pooja Jain"/>
    <x v="0"/>
    <s v="Washing Machine"/>
    <x v="0"/>
    <x v="4"/>
    <x v="0"/>
    <n v="3"/>
    <n v="25274"/>
    <n v="0.1"/>
    <n v="68239.8"/>
    <n v="56337.51"/>
    <n v="11902.29"/>
    <n v="4"/>
    <x v="0"/>
    <n v="2025"/>
  </r>
  <r>
    <s v="O-1115"/>
    <s v="11-Jul-2025"/>
    <s v="Nikhil Joshi"/>
    <x v="2"/>
    <s v="Jeans"/>
    <x v="10"/>
    <x v="6"/>
    <x v="0"/>
    <n v="4"/>
    <n v="54402"/>
    <n v="0.13"/>
    <n v="189318.96"/>
    <n v="145032.26"/>
    <n v="44286.7"/>
    <n v="7"/>
    <x v="8"/>
    <n v="2025"/>
  </r>
  <r>
    <s v="O-1116"/>
    <s v="01-Sep-2025"/>
    <s v="Ravi Patel"/>
    <x v="1"/>
    <s v="Sofa"/>
    <x v="14"/>
    <x v="4"/>
    <x v="2"/>
    <n v="1"/>
    <n v="7121"/>
    <n v="0.14000000000000001"/>
    <n v="6124.06"/>
    <n v="5345.36"/>
    <n v="778.7"/>
    <n v="9"/>
    <x v="3"/>
    <n v="2025"/>
  </r>
  <r>
    <s v="O-1117"/>
    <s v="27-Mar-2025"/>
    <s v="Raj Sharma"/>
    <x v="1"/>
    <s v="Chair"/>
    <x v="51"/>
    <x v="1"/>
    <x v="1"/>
    <n v="5"/>
    <n v="8439"/>
    <n v="0.06"/>
    <n v="39663.300000000003"/>
    <n v="31575.25"/>
    <n v="8088.05"/>
    <n v="3"/>
    <x v="7"/>
    <n v="2025"/>
  </r>
  <r>
    <s v="O-1118"/>
    <s v="17-Apr-2025"/>
    <s v="Aman Tiwari"/>
    <x v="2"/>
    <s v="Dress"/>
    <x v="27"/>
    <x v="3"/>
    <x v="0"/>
    <n v="1"/>
    <n v="50379"/>
    <n v="0.03"/>
    <n v="48867.63"/>
    <n v="43613.3"/>
    <n v="5254.33"/>
    <n v="4"/>
    <x v="0"/>
    <n v="2025"/>
  </r>
  <r>
    <s v="O-1119"/>
    <s v="17-Jan-2025"/>
    <s v="Ravi Patel"/>
    <x v="1"/>
    <s v="Sofa"/>
    <x v="14"/>
    <x v="4"/>
    <x v="1"/>
    <n v="1"/>
    <n v="35233"/>
    <n v="0.14000000000000001"/>
    <n v="30300.38"/>
    <n v="23920.78"/>
    <n v="6379.6"/>
    <n v="1"/>
    <x v="4"/>
    <n v="2025"/>
  </r>
  <r>
    <s v="O-1120"/>
    <s v="24-Mar-2025"/>
    <s v="Raj Sharma"/>
    <x v="0"/>
    <s v="Refrigerator"/>
    <x v="30"/>
    <x v="5"/>
    <x v="0"/>
    <n v="5"/>
    <n v="50883"/>
    <n v="7.0000000000000007E-2"/>
    <n v="236605.95"/>
    <n v="179034.84"/>
    <n v="57571.11"/>
    <n v="3"/>
    <x v="7"/>
    <n v="2025"/>
  </r>
  <r>
    <s v="O-1121"/>
    <s v="21-Jul-2025"/>
    <s v="Ravi Patel"/>
    <x v="2"/>
    <s v="Jeans"/>
    <x v="20"/>
    <x v="5"/>
    <x v="0"/>
    <n v="1"/>
    <n v="35541"/>
    <n v="0.02"/>
    <n v="34830.18"/>
    <n v="25871.35"/>
    <n v="8958.83"/>
    <n v="7"/>
    <x v="8"/>
    <n v="2025"/>
  </r>
  <r>
    <s v="O-1122"/>
    <s v="20-Oct-2025"/>
    <s v="Tanya Kapoor"/>
    <x v="2"/>
    <s v="Jacket"/>
    <x v="31"/>
    <x v="3"/>
    <x v="3"/>
    <n v="2"/>
    <n v="27525"/>
    <n v="0.13"/>
    <n v="47893.5"/>
    <n v="38437.379999999997"/>
    <n v="9456.1200000000008"/>
    <n v="10"/>
    <x v="9"/>
    <n v="2025"/>
  </r>
  <r>
    <s v="O-1123"/>
    <s v="03-Jul-2025"/>
    <s v="Kiran Singh"/>
    <x v="0"/>
    <s v="Refrigerator"/>
    <x v="30"/>
    <x v="5"/>
    <x v="1"/>
    <n v="4"/>
    <n v="52344"/>
    <n v="7.0000000000000007E-2"/>
    <n v="194719.68"/>
    <n v="146225.10999999999"/>
    <n v="48494.57"/>
    <n v="7"/>
    <x v="8"/>
    <n v="2025"/>
  </r>
  <r>
    <s v="O-1124"/>
    <s v="25-Jul-2025"/>
    <s v="Aman Tiwari"/>
    <x v="0"/>
    <s v="Refrigerator"/>
    <x v="4"/>
    <x v="5"/>
    <x v="0"/>
    <n v="1"/>
    <n v="31515"/>
    <n v="0.1"/>
    <n v="28363.5"/>
    <n v="19892.86"/>
    <n v="8470.64"/>
    <n v="7"/>
    <x v="8"/>
    <n v="2025"/>
  </r>
  <r>
    <s v="O-1125"/>
    <s v="03-Sep-2025"/>
    <s v="Suman Rao"/>
    <x v="1"/>
    <s v="Sofa"/>
    <x v="14"/>
    <x v="7"/>
    <x v="2"/>
    <n v="2"/>
    <n v="11848"/>
    <n v="0.05"/>
    <n v="22511.200000000001"/>
    <n v="17915.93"/>
    <n v="4595.2700000000004"/>
    <n v="9"/>
    <x v="3"/>
    <n v="2025"/>
  </r>
  <r>
    <s v="O-1126"/>
    <s v="30-Jan-2025"/>
    <s v="Deepak Chauhan"/>
    <x v="2"/>
    <s v="Shirt"/>
    <x v="25"/>
    <x v="4"/>
    <x v="3"/>
    <n v="1"/>
    <n v="34904"/>
    <n v="0.08"/>
    <n v="32111.68"/>
    <n v="23047.32"/>
    <n v="9064.36"/>
    <n v="1"/>
    <x v="4"/>
    <n v="2025"/>
  </r>
  <r>
    <s v="O-1127"/>
    <s v="04-Aug-2025"/>
    <s v="Tanya Kapoor"/>
    <x v="2"/>
    <s v="Jacket"/>
    <x v="36"/>
    <x v="5"/>
    <x v="0"/>
    <n v="1"/>
    <n v="7259"/>
    <n v="0.05"/>
    <n v="6896.05"/>
    <n v="5109.1000000000004"/>
    <n v="1786.95"/>
    <n v="8"/>
    <x v="6"/>
    <n v="2025"/>
  </r>
  <r>
    <s v="O-1128"/>
    <s v="18-Oct-2025"/>
    <s v="Deepak Chauhan"/>
    <x v="1"/>
    <s v="Bookshelf"/>
    <x v="3"/>
    <x v="7"/>
    <x v="0"/>
    <n v="1"/>
    <n v="28070"/>
    <n v="0.09"/>
    <n v="25543.7"/>
    <n v="21556.61"/>
    <n v="3987.09"/>
    <n v="10"/>
    <x v="9"/>
    <n v="2025"/>
  </r>
  <r>
    <s v="O-1129"/>
    <s v="16-Jun-2025"/>
    <s v="Aman Tiwari"/>
    <x v="2"/>
    <s v="Shirt"/>
    <x v="22"/>
    <x v="2"/>
    <x v="0"/>
    <n v="4"/>
    <n v="36517"/>
    <n v="0.08"/>
    <n v="134382.56"/>
    <n v="117369.04"/>
    <n v="17013.52"/>
    <n v="6"/>
    <x v="1"/>
    <n v="2025"/>
  </r>
  <r>
    <s v="O-1130"/>
    <s v="21-Jan-2025"/>
    <s v="Nikhil Joshi"/>
    <x v="3"/>
    <s v="Tablet"/>
    <x v="24"/>
    <x v="0"/>
    <x v="3"/>
    <n v="4"/>
    <n v="21184"/>
    <n v="0.12"/>
    <n v="74567.679999999993"/>
    <n v="61361.97"/>
    <n v="13205.71"/>
    <n v="1"/>
    <x v="4"/>
    <n v="2025"/>
  </r>
  <r>
    <s v="O-1131"/>
    <s v="09-Apr-2025"/>
    <s v="Tanya Kapoor"/>
    <x v="2"/>
    <s v="Dress"/>
    <x v="27"/>
    <x v="1"/>
    <x v="3"/>
    <n v="2"/>
    <n v="37654"/>
    <n v="0.13"/>
    <n v="65517.96"/>
    <n v="47364.08"/>
    <n v="18153.88"/>
    <n v="4"/>
    <x v="0"/>
    <n v="2025"/>
  </r>
  <r>
    <s v="O-1132"/>
    <s v="21-Sep-2025"/>
    <s v="Meena Verma"/>
    <x v="1"/>
    <s v="Chair"/>
    <x v="8"/>
    <x v="1"/>
    <x v="2"/>
    <n v="5"/>
    <n v="54673"/>
    <n v="7.0000000000000007E-2"/>
    <n v="254229.45"/>
    <n v="185432.13"/>
    <n v="68797.320000000007"/>
    <n v="9"/>
    <x v="3"/>
    <n v="2025"/>
  </r>
  <r>
    <s v="O-1133"/>
    <s v="07-Oct-2025"/>
    <s v="Deepak Chauhan"/>
    <x v="1"/>
    <s v="Sofa"/>
    <x v="52"/>
    <x v="6"/>
    <x v="2"/>
    <n v="5"/>
    <n v="17642"/>
    <n v="0.1"/>
    <n v="79389"/>
    <n v="56312.41"/>
    <n v="23076.59"/>
    <n v="10"/>
    <x v="9"/>
    <n v="2025"/>
  </r>
  <r>
    <s v="O-1134"/>
    <s v="26-Sep-2025"/>
    <s v="Tanya Kapoor"/>
    <x v="3"/>
    <s v="Tablet"/>
    <x v="44"/>
    <x v="5"/>
    <x v="2"/>
    <n v="4"/>
    <n v="17268"/>
    <n v="0.06"/>
    <n v="64927.68"/>
    <n v="54635.1"/>
    <n v="10292.58"/>
    <n v="9"/>
    <x v="3"/>
    <n v="2025"/>
  </r>
  <r>
    <s v="O-1135"/>
    <s v="05-May-2025"/>
    <s v="Raj Sharma"/>
    <x v="3"/>
    <s v="Mobile"/>
    <x v="50"/>
    <x v="5"/>
    <x v="3"/>
    <n v="2"/>
    <n v="7186"/>
    <n v="0.11"/>
    <n v="12791.08"/>
    <n v="9112.0400000000009"/>
    <n v="3679.04"/>
    <n v="5"/>
    <x v="5"/>
    <n v="2025"/>
  </r>
  <r>
    <s v="O-1136"/>
    <s v="25-Apr-2025"/>
    <s v="Raj Sharma"/>
    <x v="0"/>
    <s v="Microwave"/>
    <x v="19"/>
    <x v="2"/>
    <x v="3"/>
    <n v="1"/>
    <n v="47648"/>
    <n v="0.09"/>
    <n v="43359.68"/>
    <n v="35298.58"/>
    <n v="8061.1"/>
    <n v="4"/>
    <x v="0"/>
    <n v="2025"/>
  </r>
  <r>
    <s v="O-1137"/>
    <s v="21-May-2025"/>
    <s v="Tanya Kapoor"/>
    <x v="2"/>
    <s v="Dress"/>
    <x v="27"/>
    <x v="1"/>
    <x v="3"/>
    <n v="2"/>
    <n v="24644"/>
    <n v="0.14000000000000001"/>
    <n v="42387.68"/>
    <n v="30138.14"/>
    <n v="12249.54"/>
    <n v="5"/>
    <x v="5"/>
    <n v="2025"/>
  </r>
  <r>
    <s v="O-1138"/>
    <s v="05-Sep-2025"/>
    <s v="Tanya Kapoor"/>
    <x v="3"/>
    <s v="Laptop"/>
    <x v="33"/>
    <x v="3"/>
    <x v="3"/>
    <n v="3"/>
    <n v="58061"/>
    <n v="0.11"/>
    <n v="155022.87"/>
    <n v="135895.59"/>
    <n v="19127.28"/>
    <n v="9"/>
    <x v="3"/>
    <n v="2025"/>
  </r>
  <r>
    <s v="O-1139"/>
    <s v="19-Oct-2025"/>
    <s v="Nikhil Joshi"/>
    <x v="3"/>
    <s v="Mobile"/>
    <x v="50"/>
    <x v="6"/>
    <x v="0"/>
    <n v="4"/>
    <n v="34638"/>
    <n v="7.0000000000000007E-2"/>
    <n v="128853.36"/>
    <n v="103836.05"/>
    <n v="25017.31"/>
    <n v="10"/>
    <x v="9"/>
    <n v="2025"/>
  </r>
  <r>
    <s v="O-1140"/>
    <s v="07-Jul-2025"/>
    <s v="Raj Sharma"/>
    <x v="0"/>
    <s v="Microwave"/>
    <x v="2"/>
    <x v="4"/>
    <x v="1"/>
    <n v="2"/>
    <n v="32551"/>
    <n v="0.09"/>
    <n v="59242.82"/>
    <n v="44190.97"/>
    <n v="15051.85"/>
    <n v="7"/>
    <x v="8"/>
    <n v="2025"/>
  </r>
  <r>
    <s v="O-1141"/>
    <s v="29-Jun-2025"/>
    <s v="Raj Sharma"/>
    <x v="0"/>
    <s v="Washing Machine"/>
    <x v="48"/>
    <x v="7"/>
    <x v="3"/>
    <n v="4"/>
    <n v="15570"/>
    <n v="0.12"/>
    <n v="54806.400000000001"/>
    <n v="44836.67"/>
    <n v="9969.73"/>
    <n v="6"/>
    <x v="1"/>
    <n v="2025"/>
  </r>
  <r>
    <s v="O-1142"/>
    <s v="16-Sep-2025"/>
    <s v="Suman Rao"/>
    <x v="2"/>
    <s v="Jeans"/>
    <x v="43"/>
    <x v="5"/>
    <x v="3"/>
    <n v="5"/>
    <n v="18106"/>
    <n v="0.13"/>
    <n v="78761.100000000006"/>
    <n v="67750.75"/>
    <n v="11010.35"/>
    <n v="9"/>
    <x v="3"/>
    <n v="2025"/>
  </r>
  <r>
    <s v="O-1143"/>
    <s v="05-Feb-2025"/>
    <s v="Suman Rao"/>
    <x v="1"/>
    <s v="Table"/>
    <x v="16"/>
    <x v="6"/>
    <x v="0"/>
    <n v="3"/>
    <n v="46113"/>
    <n v="0.03"/>
    <n v="134188.82999999999"/>
    <n v="103706.47"/>
    <n v="30482.36"/>
    <n v="2"/>
    <x v="2"/>
    <n v="2025"/>
  </r>
  <r>
    <s v="O-1144"/>
    <s v="28-Feb-2025"/>
    <s v="Pooja Jain"/>
    <x v="0"/>
    <s v="Mixer"/>
    <x v="53"/>
    <x v="4"/>
    <x v="1"/>
    <n v="3"/>
    <n v="17162"/>
    <n v="0.08"/>
    <n v="47367.12"/>
    <n v="38406.85"/>
    <n v="8960.27"/>
    <n v="2"/>
    <x v="2"/>
    <n v="2025"/>
  </r>
  <r>
    <s v="O-1145"/>
    <s v="20-Apr-2025"/>
    <s v="Tanya Kapoor"/>
    <x v="0"/>
    <s v="Microwave"/>
    <x v="19"/>
    <x v="5"/>
    <x v="1"/>
    <n v="2"/>
    <n v="23569"/>
    <n v="0.09"/>
    <n v="42895.58"/>
    <n v="36081.64"/>
    <n v="6813.94"/>
    <n v="4"/>
    <x v="0"/>
    <n v="2025"/>
  </r>
  <r>
    <s v="O-1146"/>
    <s v="11-Apr-2025"/>
    <s v="Suman Rao"/>
    <x v="0"/>
    <s v="Refrigerator"/>
    <x v="30"/>
    <x v="1"/>
    <x v="3"/>
    <n v="3"/>
    <n v="45064"/>
    <n v="7.0000000000000007E-2"/>
    <n v="125728.56"/>
    <n v="89354.89"/>
    <n v="36373.67"/>
    <n v="4"/>
    <x v="0"/>
    <n v="2025"/>
  </r>
  <r>
    <s v="O-1147"/>
    <s v="30-Aug-2025"/>
    <s v="Pooja Jain"/>
    <x v="2"/>
    <s v="Dress"/>
    <x v="27"/>
    <x v="2"/>
    <x v="2"/>
    <n v="3"/>
    <n v="22496"/>
    <n v="0.15"/>
    <n v="57364.800000000003"/>
    <n v="42979.53"/>
    <n v="14385.27"/>
    <n v="8"/>
    <x v="6"/>
    <n v="2025"/>
  </r>
  <r>
    <s v="O-1148"/>
    <s v="02-Feb-2025"/>
    <s v="Suman Rao"/>
    <x v="1"/>
    <s v="Sofa"/>
    <x v="11"/>
    <x v="5"/>
    <x v="3"/>
    <n v="1"/>
    <n v="54613"/>
    <n v="0.15"/>
    <n v="46421.05"/>
    <n v="36902.22"/>
    <n v="9518.83"/>
    <n v="2"/>
    <x v="2"/>
    <n v="2025"/>
  </r>
  <r>
    <s v="O-1149"/>
    <s v="18-Apr-2025"/>
    <s v="Suman Rao"/>
    <x v="1"/>
    <s v="Sofa"/>
    <x v="54"/>
    <x v="5"/>
    <x v="1"/>
    <n v="1"/>
    <n v="18938"/>
    <n v="0.03"/>
    <n v="18369.86"/>
    <n v="13390.31"/>
    <n v="4979.55"/>
    <n v="4"/>
    <x v="0"/>
    <n v="2025"/>
  </r>
  <r>
    <s v="O-1150"/>
    <s v="16-Feb-2025"/>
    <s v="Deepak Chauhan"/>
    <x v="3"/>
    <s v="Tablet"/>
    <x v="24"/>
    <x v="2"/>
    <x v="1"/>
    <n v="4"/>
    <n v="9536"/>
    <n v="0.13"/>
    <n v="33185.279999999999"/>
    <n v="28577.040000000001"/>
    <n v="4608.24"/>
    <n v="2"/>
    <x v="2"/>
    <n v="2025"/>
  </r>
  <r>
    <s v="O-1151"/>
    <s v="17-Jul-2025"/>
    <s v="Raj Sharma"/>
    <x v="3"/>
    <s v="Tablet"/>
    <x v="44"/>
    <x v="3"/>
    <x v="0"/>
    <n v="2"/>
    <n v="19850"/>
    <n v="0.08"/>
    <n v="36524"/>
    <n v="31897.24"/>
    <n v="4626.76"/>
    <n v="7"/>
    <x v="8"/>
    <n v="2025"/>
  </r>
  <r>
    <s v="O-1152"/>
    <s v="10-Jan-2025"/>
    <s v="Pooja Jain"/>
    <x v="2"/>
    <s v="Shirt"/>
    <x v="25"/>
    <x v="5"/>
    <x v="0"/>
    <n v="4"/>
    <n v="2825"/>
    <n v="0.12"/>
    <n v="9944"/>
    <n v="8712.36"/>
    <n v="1231.6400000000001"/>
    <n v="1"/>
    <x v="4"/>
    <n v="2025"/>
  </r>
  <r>
    <s v="O-1153"/>
    <s v="07-Mar-2025"/>
    <s v="Meena Verma"/>
    <x v="2"/>
    <s v="Jacket"/>
    <x v="26"/>
    <x v="7"/>
    <x v="1"/>
    <n v="3"/>
    <n v="20602"/>
    <n v="0.09"/>
    <n v="56243.46"/>
    <n v="40496.07"/>
    <n v="15747.39"/>
    <n v="3"/>
    <x v="7"/>
    <n v="2025"/>
  </r>
  <r>
    <s v="O-1154"/>
    <s v="17-Jan-2025"/>
    <s v="Suman Rao"/>
    <x v="2"/>
    <s v="Jeans"/>
    <x v="20"/>
    <x v="5"/>
    <x v="2"/>
    <n v="4"/>
    <n v="25576"/>
    <n v="7.0000000000000007E-2"/>
    <n v="95142.720000000001"/>
    <n v="69664.320000000007"/>
    <n v="25478.400000000001"/>
    <n v="1"/>
    <x v="4"/>
    <n v="2025"/>
  </r>
  <r>
    <s v="O-1155"/>
    <s v="23-Jun-2025"/>
    <s v="Nikhil Joshi"/>
    <x v="3"/>
    <s v="Tablet"/>
    <x v="24"/>
    <x v="0"/>
    <x v="0"/>
    <n v="4"/>
    <n v="57703"/>
    <n v="0.11"/>
    <n v="205422.68"/>
    <n v="180156.19"/>
    <n v="25266.49"/>
    <n v="6"/>
    <x v="1"/>
    <n v="2025"/>
  </r>
  <r>
    <s v="O-1156"/>
    <s v="17-May-2025"/>
    <s v="Meena Verma"/>
    <x v="3"/>
    <s v="Headphones"/>
    <x v="55"/>
    <x v="3"/>
    <x v="0"/>
    <n v="5"/>
    <n v="48944"/>
    <n v="0.06"/>
    <n v="230036.8"/>
    <n v="187817.8"/>
    <n v="42219"/>
    <n v="5"/>
    <x v="5"/>
    <n v="2025"/>
  </r>
  <r>
    <s v="O-1157"/>
    <s v="13-Oct-2025"/>
    <s v="Tanya Kapoor"/>
    <x v="1"/>
    <s v="Chair"/>
    <x v="8"/>
    <x v="2"/>
    <x v="2"/>
    <n v="4"/>
    <n v="22075"/>
    <n v="0.15"/>
    <n v="75055"/>
    <n v="54110.720000000001"/>
    <n v="20944.28"/>
    <n v="10"/>
    <x v="9"/>
    <n v="2025"/>
  </r>
  <r>
    <s v="O-1158"/>
    <s v="23-Jun-2025"/>
    <s v="Meena Verma"/>
    <x v="0"/>
    <s v="Washing Machine"/>
    <x v="48"/>
    <x v="4"/>
    <x v="1"/>
    <n v="2"/>
    <n v="32804"/>
    <n v="0.13"/>
    <n v="57078.96"/>
    <n v="47025.02"/>
    <n v="10053.94"/>
    <n v="6"/>
    <x v="1"/>
    <n v="2025"/>
  </r>
  <r>
    <s v="O-1159"/>
    <s v="27-Oct-2025"/>
    <s v="Meena Verma"/>
    <x v="3"/>
    <s v="Mobile"/>
    <x v="56"/>
    <x v="5"/>
    <x v="3"/>
    <n v="2"/>
    <n v="41569"/>
    <n v="0.12"/>
    <n v="73161.440000000002"/>
    <n v="57455.81"/>
    <n v="15705.63"/>
    <n v="10"/>
    <x v="9"/>
    <n v="2025"/>
  </r>
  <r>
    <s v="O-1160"/>
    <s v="19-Jun-2025"/>
    <s v="Kiran Singh"/>
    <x v="1"/>
    <s v="Table"/>
    <x v="34"/>
    <x v="1"/>
    <x v="0"/>
    <n v="5"/>
    <n v="8982"/>
    <n v="0.09"/>
    <n v="40868.1"/>
    <n v="32408.78"/>
    <n v="8459.32"/>
    <n v="6"/>
    <x v="1"/>
    <n v="2025"/>
  </r>
  <r>
    <s v="O-1161"/>
    <s v="05-Jul-2025"/>
    <s v="Ravi Patel"/>
    <x v="3"/>
    <s v="Laptop"/>
    <x v="40"/>
    <x v="5"/>
    <x v="1"/>
    <n v="1"/>
    <n v="24206"/>
    <n v="0.06"/>
    <n v="22753.64"/>
    <n v="16760.669999999998"/>
    <n v="5992.97"/>
    <n v="7"/>
    <x v="8"/>
    <n v="2025"/>
  </r>
  <r>
    <s v="O-1162"/>
    <s v="24-May-2025"/>
    <s v="Ravi Patel"/>
    <x v="1"/>
    <s v="Table"/>
    <x v="16"/>
    <x v="4"/>
    <x v="1"/>
    <n v="5"/>
    <n v="35323"/>
    <n v="0.02"/>
    <n v="173082.7"/>
    <n v="143224.53"/>
    <n v="29858.17"/>
    <n v="5"/>
    <x v="5"/>
    <n v="2025"/>
  </r>
  <r>
    <s v="O-1163"/>
    <s v="06-Mar-2025"/>
    <s v="Aman Tiwari"/>
    <x v="0"/>
    <s v="Mixer"/>
    <x v="9"/>
    <x v="6"/>
    <x v="2"/>
    <n v="3"/>
    <n v="19263"/>
    <n v="7.0000000000000007E-2"/>
    <n v="53743.77"/>
    <n v="46574.33"/>
    <n v="7169.44"/>
    <n v="3"/>
    <x v="7"/>
    <n v="2025"/>
  </r>
  <r>
    <s v="O-1164"/>
    <s v="30-Mar-2025"/>
    <s v="Suman Rao"/>
    <x v="1"/>
    <s v="Chair"/>
    <x v="38"/>
    <x v="4"/>
    <x v="3"/>
    <n v="3"/>
    <n v="57117"/>
    <n v="7.0000000000000007E-2"/>
    <n v="159356.43"/>
    <n v="126798.81"/>
    <n v="32557.62"/>
    <n v="3"/>
    <x v="7"/>
    <n v="2025"/>
  </r>
  <r>
    <s v="O-1165"/>
    <s v="21-Jan-2025"/>
    <s v="Raj Sharma"/>
    <x v="3"/>
    <s v="Headphones"/>
    <x v="49"/>
    <x v="4"/>
    <x v="1"/>
    <n v="5"/>
    <n v="24135"/>
    <n v="0.04"/>
    <n v="115848"/>
    <n v="95461.7"/>
    <n v="20386.3"/>
    <n v="1"/>
    <x v="4"/>
    <n v="2025"/>
  </r>
  <r>
    <s v="O-1166"/>
    <s v="12-Feb-2025"/>
    <s v="Ravi Patel"/>
    <x v="1"/>
    <s v="Chair"/>
    <x v="38"/>
    <x v="4"/>
    <x v="0"/>
    <n v="4"/>
    <n v="15258"/>
    <n v="0.06"/>
    <n v="57370.080000000002"/>
    <n v="44379.85"/>
    <n v="12990.23"/>
    <n v="2"/>
    <x v="2"/>
    <n v="2025"/>
  </r>
  <r>
    <s v="O-1167"/>
    <s v="05-Mar-2025"/>
    <s v="Pooja Jain"/>
    <x v="0"/>
    <s v="Refrigerator"/>
    <x v="4"/>
    <x v="1"/>
    <x v="2"/>
    <n v="5"/>
    <n v="50667"/>
    <n v="0.11"/>
    <n v="225468.15"/>
    <n v="197948.75"/>
    <n v="27519.4"/>
    <n v="3"/>
    <x v="7"/>
    <n v="2025"/>
  </r>
  <r>
    <s v="O-1168"/>
    <s v="06-Jul-2025"/>
    <s v="Deepak Chauhan"/>
    <x v="0"/>
    <s v="Microwave"/>
    <x v="39"/>
    <x v="3"/>
    <x v="2"/>
    <n v="4"/>
    <n v="20551"/>
    <n v="0.08"/>
    <n v="75627.679999999993"/>
    <n v="57051.45"/>
    <n v="18576.23"/>
    <n v="7"/>
    <x v="8"/>
    <n v="2025"/>
  </r>
  <r>
    <s v="O-1169"/>
    <s v="03-Apr-2025"/>
    <s v="Kiran Singh"/>
    <x v="2"/>
    <s v="Shirt"/>
    <x v="23"/>
    <x v="5"/>
    <x v="0"/>
    <n v="2"/>
    <n v="18077"/>
    <n v="0.06"/>
    <n v="33984.76"/>
    <n v="27184.57"/>
    <n v="6800.19"/>
    <n v="4"/>
    <x v="0"/>
    <n v="2025"/>
  </r>
  <r>
    <s v="O-1170"/>
    <s v="01-May-2025"/>
    <s v="Tanya Kapoor"/>
    <x v="3"/>
    <s v="Headphones"/>
    <x v="17"/>
    <x v="5"/>
    <x v="3"/>
    <n v="5"/>
    <n v="19405"/>
    <n v="0.13"/>
    <n v="84411.75"/>
    <n v="64414.1"/>
    <n v="19997.650000000001"/>
    <n v="5"/>
    <x v="5"/>
    <n v="2025"/>
  </r>
  <r>
    <s v="O-1171"/>
    <s v="12-Feb-2025"/>
    <s v="Ravi Patel"/>
    <x v="3"/>
    <s v="Headphones"/>
    <x v="17"/>
    <x v="2"/>
    <x v="2"/>
    <n v="1"/>
    <n v="35048"/>
    <n v="0.04"/>
    <n v="33646.080000000002"/>
    <n v="24900.94"/>
    <n v="8745.14"/>
    <n v="2"/>
    <x v="2"/>
    <n v="2025"/>
  </r>
  <r>
    <s v="O-1172"/>
    <s v="03-Oct-2025"/>
    <s v="Kiran Singh"/>
    <x v="3"/>
    <s v="Headphones"/>
    <x v="17"/>
    <x v="1"/>
    <x v="2"/>
    <n v="1"/>
    <n v="28577"/>
    <n v="7.0000000000000007E-2"/>
    <n v="26576.61"/>
    <n v="22762.080000000002"/>
    <n v="3814.53"/>
    <n v="10"/>
    <x v="9"/>
    <n v="2025"/>
  </r>
  <r>
    <s v="O-1173"/>
    <s v="24-Jul-2025"/>
    <s v="Raj Sharma"/>
    <x v="3"/>
    <s v="Tablet"/>
    <x v="44"/>
    <x v="6"/>
    <x v="2"/>
    <n v="5"/>
    <n v="51381"/>
    <n v="0.11"/>
    <n v="228645.45"/>
    <n v="179392.43"/>
    <n v="49253.02"/>
    <n v="7"/>
    <x v="8"/>
    <n v="2025"/>
  </r>
  <r>
    <s v="O-1174"/>
    <s v="26-Mar-2025"/>
    <s v="Meena Verma"/>
    <x v="1"/>
    <s v="Chair"/>
    <x v="51"/>
    <x v="2"/>
    <x v="1"/>
    <n v="4"/>
    <n v="48441"/>
    <n v="0.05"/>
    <n v="184075.8"/>
    <n v="160150.53"/>
    <n v="23925.27"/>
    <n v="3"/>
    <x v="7"/>
    <n v="2025"/>
  </r>
  <r>
    <s v="O-1175"/>
    <s v="09-Mar-2025"/>
    <s v="Kiran Singh"/>
    <x v="2"/>
    <s v="Dress"/>
    <x v="57"/>
    <x v="2"/>
    <x v="2"/>
    <n v="5"/>
    <n v="55508"/>
    <n v="0.12"/>
    <n v="244235.2"/>
    <n v="204361.88"/>
    <n v="39873.32"/>
    <n v="3"/>
    <x v="7"/>
    <n v="2025"/>
  </r>
  <r>
    <s v="O-1176"/>
    <s v="15-Sep-2025"/>
    <s v="Nikhil Joshi"/>
    <x v="3"/>
    <s v="Tablet"/>
    <x v="24"/>
    <x v="3"/>
    <x v="2"/>
    <n v="5"/>
    <n v="41211"/>
    <n v="0.13"/>
    <n v="179267.85"/>
    <n v="136550.53"/>
    <n v="42717.32"/>
    <n v="9"/>
    <x v="3"/>
    <n v="2025"/>
  </r>
  <r>
    <s v="O-1177"/>
    <s v="03-Aug-2025"/>
    <s v="Nikhil Joshi"/>
    <x v="2"/>
    <s v="Jacket"/>
    <x v="26"/>
    <x v="4"/>
    <x v="0"/>
    <n v="4"/>
    <n v="14283"/>
    <n v="0.12"/>
    <n v="50276.160000000003"/>
    <n v="41633.879999999997"/>
    <n v="8642.2800000000007"/>
    <n v="8"/>
    <x v="6"/>
    <n v="2025"/>
  </r>
  <r>
    <s v="O-1178"/>
    <s v="05-Sep-2025"/>
    <s v="Deepak Chauhan"/>
    <x v="1"/>
    <s v="Sofa"/>
    <x v="11"/>
    <x v="7"/>
    <x v="0"/>
    <n v="2"/>
    <n v="8350"/>
    <n v="0.04"/>
    <n v="16032"/>
    <n v="12252.08"/>
    <n v="3779.92"/>
    <n v="9"/>
    <x v="3"/>
    <n v="2025"/>
  </r>
  <r>
    <s v="O-1179"/>
    <s v="08-Mar-2025"/>
    <s v="Raj Sharma"/>
    <x v="0"/>
    <s v="Refrigerator"/>
    <x v="32"/>
    <x v="4"/>
    <x v="0"/>
    <n v="3"/>
    <n v="36922"/>
    <n v="0.13"/>
    <n v="96366.42"/>
    <n v="70127.570000000007"/>
    <n v="26238.85"/>
    <n v="3"/>
    <x v="7"/>
    <n v="2025"/>
  </r>
  <r>
    <s v="O-1180"/>
    <s v="27-Jan-2025"/>
    <s v="Kiran Singh"/>
    <x v="0"/>
    <s v="Microwave"/>
    <x v="2"/>
    <x v="3"/>
    <x v="2"/>
    <n v="5"/>
    <n v="22300"/>
    <n v="0.04"/>
    <n v="107040"/>
    <n v="76400.87"/>
    <n v="30639.13"/>
    <n v="1"/>
    <x v="4"/>
    <n v="2025"/>
  </r>
  <r>
    <s v="O-1181"/>
    <s v="08-Jun-2025"/>
    <s v="Raj Sharma"/>
    <x v="0"/>
    <s v="Microwave"/>
    <x v="19"/>
    <x v="0"/>
    <x v="1"/>
    <n v="1"/>
    <n v="44267"/>
    <n v="0.09"/>
    <n v="40282.97"/>
    <n v="31059.67"/>
    <n v="9223.2999999999993"/>
    <n v="6"/>
    <x v="1"/>
    <n v="2025"/>
  </r>
  <r>
    <s v="O-1182"/>
    <s v="12-Jan-2025"/>
    <s v="Suman Rao"/>
    <x v="1"/>
    <s v="Bookshelf"/>
    <x v="42"/>
    <x v="0"/>
    <x v="3"/>
    <n v="3"/>
    <n v="34067"/>
    <n v="0.03"/>
    <n v="99134.97"/>
    <n v="70838.179999999993"/>
    <n v="28296.79"/>
    <n v="1"/>
    <x v="4"/>
    <n v="2025"/>
  </r>
  <r>
    <s v="O-1183"/>
    <s v="03-May-2025"/>
    <s v="Kiran Singh"/>
    <x v="0"/>
    <s v="Refrigerator"/>
    <x v="32"/>
    <x v="4"/>
    <x v="2"/>
    <n v="1"/>
    <n v="25302"/>
    <n v="0.13"/>
    <n v="22012.74"/>
    <n v="16678.14"/>
    <n v="5334.6"/>
    <n v="5"/>
    <x v="5"/>
    <n v="2025"/>
  </r>
  <r>
    <s v="O-1184"/>
    <s v="01-Aug-2025"/>
    <s v="Pooja Jain"/>
    <x v="2"/>
    <s v="Jeans"/>
    <x v="43"/>
    <x v="6"/>
    <x v="1"/>
    <n v="5"/>
    <n v="58135"/>
    <n v="0.1"/>
    <n v="261607.5"/>
    <n v="192205.51"/>
    <n v="69401.990000000005"/>
    <n v="8"/>
    <x v="6"/>
    <n v="2025"/>
  </r>
  <r>
    <s v="O-1185"/>
    <s v="19-Feb-2025"/>
    <s v="Raj Sharma"/>
    <x v="1"/>
    <s v="Chair"/>
    <x v="51"/>
    <x v="4"/>
    <x v="1"/>
    <n v="2"/>
    <n v="22046"/>
    <n v="0.12"/>
    <n v="38800.959999999999"/>
    <n v="32110.58"/>
    <n v="6690.38"/>
    <n v="2"/>
    <x v="2"/>
    <n v="2025"/>
  </r>
  <r>
    <s v="O-1186"/>
    <s v="21-May-2025"/>
    <s v="Ravi Patel"/>
    <x v="3"/>
    <s v="Laptop"/>
    <x v="58"/>
    <x v="0"/>
    <x v="3"/>
    <n v="1"/>
    <n v="22040"/>
    <n v="0.15"/>
    <n v="18734"/>
    <n v="13577.02"/>
    <n v="5156.9799999999996"/>
    <n v="5"/>
    <x v="5"/>
    <n v="2025"/>
  </r>
  <r>
    <s v="O-1187"/>
    <s v="12-Aug-2025"/>
    <s v="Kiran Singh"/>
    <x v="1"/>
    <s v="Chair"/>
    <x v="8"/>
    <x v="3"/>
    <x v="2"/>
    <n v="3"/>
    <n v="27310"/>
    <n v="0.05"/>
    <n v="77833.5"/>
    <n v="62124.3"/>
    <n v="15709.2"/>
    <n v="8"/>
    <x v="6"/>
    <n v="2025"/>
  </r>
  <r>
    <s v="O-1188"/>
    <s v="17-May-2025"/>
    <s v="Raj Sharma"/>
    <x v="3"/>
    <s v="Tablet"/>
    <x v="24"/>
    <x v="6"/>
    <x v="0"/>
    <n v="3"/>
    <n v="49428"/>
    <n v="0.08"/>
    <n v="136421.28"/>
    <n v="119766.64"/>
    <n v="16654.64"/>
    <n v="5"/>
    <x v="5"/>
    <n v="2025"/>
  </r>
  <r>
    <s v="O-1189"/>
    <s v="07-Mar-2025"/>
    <s v="Suman Rao"/>
    <x v="2"/>
    <s v="Jacket"/>
    <x v="26"/>
    <x v="3"/>
    <x v="0"/>
    <n v="4"/>
    <n v="38728"/>
    <n v="0.12"/>
    <n v="136322.56"/>
    <n v="121187.46"/>
    <n v="15135.1"/>
    <n v="3"/>
    <x v="7"/>
    <n v="2025"/>
  </r>
  <r>
    <s v="O-1190"/>
    <s v="07-Jun-2025"/>
    <s v="Nikhil Joshi"/>
    <x v="0"/>
    <s v="Refrigerator"/>
    <x v="4"/>
    <x v="4"/>
    <x v="2"/>
    <n v="5"/>
    <n v="52579"/>
    <n v="0.04"/>
    <n v="252379.2"/>
    <n v="177059.91"/>
    <n v="75319.289999999994"/>
    <n v="6"/>
    <x v="1"/>
    <n v="2025"/>
  </r>
  <r>
    <s v="O-1191"/>
    <s v="23-Jun-2025"/>
    <s v="Meena Verma"/>
    <x v="1"/>
    <s v="Sofa"/>
    <x v="54"/>
    <x v="1"/>
    <x v="0"/>
    <n v="4"/>
    <n v="24244"/>
    <n v="0.02"/>
    <n v="95036.479999999996"/>
    <n v="69564.52"/>
    <n v="25471.96"/>
    <n v="6"/>
    <x v="1"/>
    <n v="2025"/>
  </r>
  <r>
    <s v="O-1192"/>
    <s v="13-Apr-2025"/>
    <s v="Tanya Kapoor"/>
    <x v="1"/>
    <s v="Bookshelf"/>
    <x v="3"/>
    <x v="7"/>
    <x v="1"/>
    <n v="3"/>
    <n v="57412"/>
    <n v="0.09"/>
    <n v="156734.76"/>
    <n v="133276.37"/>
    <n v="23458.39"/>
    <n v="4"/>
    <x v="0"/>
    <n v="2025"/>
  </r>
  <r>
    <s v="O-1193"/>
    <s v="01-Mar-2025"/>
    <s v="Raj Sharma"/>
    <x v="1"/>
    <s v="Table"/>
    <x v="16"/>
    <x v="6"/>
    <x v="1"/>
    <n v="4"/>
    <n v="18571"/>
    <n v="0.05"/>
    <n v="70569.8"/>
    <n v="55461.95"/>
    <n v="15107.85"/>
    <n v="3"/>
    <x v="7"/>
    <n v="2025"/>
  </r>
  <r>
    <s v="O-1194"/>
    <s v="01-Mar-2025"/>
    <s v="Suman Rao"/>
    <x v="1"/>
    <s v="Chair"/>
    <x v="38"/>
    <x v="1"/>
    <x v="1"/>
    <n v="4"/>
    <n v="27800"/>
    <n v="0.05"/>
    <n v="105640"/>
    <n v="83218.06"/>
    <n v="22421.94"/>
    <n v="3"/>
    <x v="7"/>
    <n v="2025"/>
  </r>
  <r>
    <s v="O-1195"/>
    <s v="10-Feb-2025"/>
    <s v="Deepak Chauhan"/>
    <x v="2"/>
    <s v="Shirt"/>
    <x v="25"/>
    <x v="4"/>
    <x v="0"/>
    <n v="1"/>
    <n v="10537"/>
    <n v="0.06"/>
    <n v="9904.7800000000007"/>
    <n v="8084.69"/>
    <n v="1820.09"/>
    <n v="2"/>
    <x v="2"/>
    <n v="2025"/>
  </r>
  <r>
    <s v="O-1196"/>
    <s v="10-May-2025"/>
    <s v="Tanya Kapoor"/>
    <x v="1"/>
    <s v="Sofa"/>
    <x v="14"/>
    <x v="1"/>
    <x v="2"/>
    <n v="1"/>
    <n v="13613"/>
    <n v="0.12"/>
    <n v="11979.44"/>
    <n v="10545.31"/>
    <n v="1434.13"/>
    <n v="5"/>
    <x v="5"/>
    <n v="2025"/>
  </r>
  <r>
    <s v="O-1197"/>
    <s v="13-Jul-2025"/>
    <s v="Deepak Chauhan"/>
    <x v="0"/>
    <s v="Washing Machine"/>
    <x v="48"/>
    <x v="7"/>
    <x v="1"/>
    <n v="1"/>
    <n v="4564"/>
    <n v="0.14000000000000001"/>
    <n v="3925.04"/>
    <n v="3263.25"/>
    <n v="661.79"/>
    <n v="7"/>
    <x v="8"/>
    <n v="2025"/>
  </r>
  <r>
    <s v="O-1198"/>
    <s v="12-Aug-2025"/>
    <s v="Meena Verma"/>
    <x v="2"/>
    <s v="Jeans"/>
    <x v="10"/>
    <x v="3"/>
    <x v="0"/>
    <n v="3"/>
    <n v="6293"/>
    <n v="0.08"/>
    <n v="17368.68"/>
    <n v="12781.33"/>
    <n v="4587.3500000000004"/>
    <n v="8"/>
    <x v="6"/>
    <n v="2025"/>
  </r>
  <r>
    <s v="O-1199"/>
    <s v="01-Mar-2025"/>
    <s v="Tanya Kapoor"/>
    <x v="0"/>
    <s v="Microwave"/>
    <x v="2"/>
    <x v="4"/>
    <x v="3"/>
    <n v="3"/>
    <n v="20112"/>
    <n v="0.04"/>
    <n v="57922.559999999998"/>
    <n v="48846.03"/>
    <n v="9076.5300000000007"/>
    <n v="3"/>
    <x v="7"/>
    <n v="2025"/>
  </r>
  <r>
    <s v="O-1200"/>
    <s v="15-Jun-2025"/>
    <s v="Aman Tiwari"/>
    <x v="0"/>
    <s v="Washing Machine"/>
    <x v="12"/>
    <x v="5"/>
    <x v="0"/>
    <n v="4"/>
    <n v="50916"/>
    <n v="0.09"/>
    <n v="185334.24"/>
    <n v="163881.06"/>
    <n v="21453.18"/>
    <n v="6"/>
    <x v="1"/>
    <n v="2025"/>
  </r>
  <r>
    <s v="O-1201"/>
    <s v="10-May-2025"/>
    <s v="Pooja Jain"/>
    <x v="3"/>
    <s v="Laptop"/>
    <x v="33"/>
    <x v="1"/>
    <x v="2"/>
    <n v="3"/>
    <n v="32845"/>
    <n v="0.05"/>
    <n v="93608.25"/>
    <n v="78321.64"/>
    <n v="15286.61"/>
    <n v="5"/>
    <x v="5"/>
    <n v="2025"/>
  </r>
  <r>
    <s v="O-1202"/>
    <s v="24-Jun-2025"/>
    <s v="Raj Sharma"/>
    <x v="1"/>
    <s v="Bookshelf"/>
    <x v="42"/>
    <x v="7"/>
    <x v="3"/>
    <n v="2"/>
    <n v="10027"/>
    <n v="7.0000000000000007E-2"/>
    <n v="18650.22"/>
    <n v="16696.919999999998"/>
    <n v="1953.3"/>
    <n v="6"/>
    <x v="1"/>
    <n v="2025"/>
  </r>
  <r>
    <s v="O-1203"/>
    <s v="17-Jul-2025"/>
    <s v="Tanya Kapoor"/>
    <x v="0"/>
    <s v="Washing Machine"/>
    <x v="47"/>
    <x v="2"/>
    <x v="1"/>
    <n v="4"/>
    <n v="18615"/>
    <n v="0.04"/>
    <n v="71481.600000000006"/>
    <n v="63875.23"/>
    <n v="7606.37"/>
    <n v="7"/>
    <x v="8"/>
    <n v="2025"/>
  </r>
  <r>
    <s v="O-1204"/>
    <s v="18-Jul-2025"/>
    <s v="Meena Verma"/>
    <x v="0"/>
    <s v="Mixer"/>
    <x v="9"/>
    <x v="3"/>
    <x v="1"/>
    <n v="1"/>
    <n v="47042"/>
    <n v="0.08"/>
    <n v="43278.64"/>
    <n v="36541.440000000002"/>
    <n v="6737.2"/>
    <n v="7"/>
    <x v="8"/>
    <n v="2025"/>
  </r>
  <r>
    <s v="O-1205"/>
    <s v="24-Mar-2025"/>
    <s v="Ravi Patel"/>
    <x v="1"/>
    <s v="Bookshelf"/>
    <x v="42"/>
    <x v="0"/>
    <x v="2"/>
    <n v="5"/>
    <n v="43746"/>
    <n v="0.05"/>
    <n v="207793.5"/>
    <n v="157011.39000000001"/>
    <n v="50782.11"/>
    <n v="3"/>
    <x v="7"/>
    <n v="2025"/>
  </r>
  <r>
    <s v="O-1206"/>
    <s v="28-Aug-2025"/>
    <s v="Meena Verma"/>
    <x v="2"/>
    <s v="Jacket"/>
    <x v="41"/>
    <x v="5"/>
    <x v="2"/>
    <n v="4"/>
    <n v="17287"/>
    <n v="0.05"/>
    <n v="65690.600000000006"/>
    <n v="46827.95"/>
    <n v="18862.650000000001"/>
    <n v="8"/>
    <x v="6"/>
    <n v="2025"/>
  </r>
  <r>
    <s v="O-1207"/>
    <s v="03-May-2025"/>
    <s v="Raj Sharma"/>
    <x v="0"/>
    <s v="Mixer"/>
    <x v="53"/>
    <x v="1"/>
    <x v="2"/>
    <n v="3"/>
    <n v="49266"/>
    <n v="0.1"/>
    <n v="133018.20000000001"/>
    <n v="101297.16"/>
    <n v="31721.040000000001"/>
    <n v="5"/>
    <x v="5"/>
    <n v="2025"/>
  </r>
  <r>
    <s v="O-1208"/>
    <s v="07-Sep-2025"/>
    <s v="Kiran Singh"/>
    <x v="3"/>
    <s v="Laptop"/>
    <x v="40"/>
    <x v="4"/>
    <x v="2"/>
    <n v="1"/>
    <n v="4428"/>
    <n v="0.04"/>
    <n v="4250.88"/>
    <n v="3252.13"/>
    <n v="998.75"/>
    <n v="9"/>
    <x v="3"/>
    <n v="2025"/>
  </r>
  <r>
    <s v="O-1209"/>
    <s v="13-Apr-2025"/>
    <s v="Kiran Singh"/>
    <x v="3"/>
    <s v="Headphones"/>
    <x v="17"/>
    <x v="3"/>
    <x v="2"/>
    <n v="2"/>
    <n v="36917"/>
    <n v="0.03"/>
    <n v="71618.98"/>
    <n v="56573.17"/>
    <n v="15045.81"/>
    <n v="4"/>
    <x v="0"/>
    <n v="2025"/>
  </r>
  <r>
    <s v="O-1210"/>
    <s v="06-May-2025"/>
    <s v="Suman Rao"/>
    <x v="3"/>
    <s v="Mobile"/>
    <x v="56"/>
    <x v="6"/>
    <x v="0"/>
    <n v="3"/>
    <n v="8300"/>
    <n v="7.0000000000000007E-2"/>
    <n v="23157"/>
    <n v="20485.45"/>
    <n v="2671.55"/>
    <n v="5"/>
    <x v="5"/>
    <n v="2025"/>
  </r>
  <r>
    <s v="O-1211"/>
    <s v="22-Feb-2025"/>
    <s v="Pooja Jain"/>
    <x v="2"/>
    <s v="Jeans"/>
    <x v="43"/>
    <x v="3"/>
    <x v="2"/>
    <n v="5"/>
    <n v="50741"/>
    <n v="0.1"/>
    <n v="228334.5"/>
    <n v="169255.8"/>
    <n v="59078.7"/>
    <n v="2"/>
    <x v="2"/>
    <n v="2025"/>
  </r>
  <r>
    <s v="O-1212"/>
    <s v="31-Mar-2025"/>
    <s v="Ravi Patel"/>
    <x v="3"/>
    <s v="Tablet"/>
    <x v="7"/>
    <x v="5"/>
    <x v="2"/>
    <n v="2"/>
    <n v="35835"/>
    <n v="0.04"/>
    <n v="68803.199999999997"/>
    <n v="54681.41"/>
    <n v="14121.79"/>
    <n v="3"/>
    <x v="7"/>
    <n v="2025"/>
  </r>
  <r>
    <s v="O-1213"/>
    <s v="31-May-2025"/>
    <s v="Meena Verma"/>
    <x v="0"/>
    <s v="Washing Machine"/>
    <x v="48"/>
    <x v="4"/>
    <x v="3"/>
    <n v="3"/>
    <n v="40077"/>
    <n v="0.14000000000000001"/>
    <n v="103398.66"/>
    <n v="73343.789999999994"/>
    <n v="30054.87"/>
    <n v="5"/>
    <x v="5"/>
    <n v="2025"/>
  </r>
  <r>
    <s v="O-1214"/>
    <s v="10-Jan-2025"/>
    <s v="Kiran Singh"/>
    <x v="0"/>
    <s v="Washing Machine"/>
    <x v="0"/>
    <x v="5"/>
    <x v="1"/>
    <n v="4"/>
    <n v="32272"/>
    <n v="0.1"/>
    <n v="116179.2"/>
    <n v="81411.13"/>
    <n v="34768.07"/>
    <n v="1"/>
    <x v="4"/>
    <n v="2025"/>
  </r>
  <r>
    <s v="O-1215"/>
    <s v="30-Mar-2025"/>
    <s v="Deepak Chauhan"/>
    <x v="2"/>
    <s v="Jeans"/>
    <x v="20"/>
    <x v="1"/>
    <x v="0"/>
    <n v="5"/>
    <n v="56304"/>
    <n v="0.11"/>
    <n v="250552.8"/>
    <n v="197259.76"/>
    <n v="53293.04"/>
    <n v="3"/>
    <x v="7"/>
    <n v="2025"/>
  </r>
  <r>
    <s v="O-1216"/>
    <s v="16-Aug-2025"/>
    <s v="Kiran Singh"/>
    <x v="3"/>
    <s v="Laptop"/>
    <x v="33"/>
    <x v="6"/>
    <x v="3"/>
    <n v="5"/>
    <n v="10011"/>
    <n v="0.03"/>
    <n v="48553.35"/>
    <n v="40834.43"/>
    <n v="7718.92"/>
    <n v="8"/>
    <x v="6"/>
    <n v="2025"/>
  </r>
  <r>
    <s v="O-1217"/>
    <s v="10-May-2025"/>
    <s v="Meena Verma"/>
    <x v="1"/>
    <s v="Sofa"/>
    <x v="14"/>
    <x v="3"/>
    <x v="0"/>
    <n v="2"/>
    <n v="1996"/>
    <n v="0.14000000000000001"/>
    <n v="3433.12"/>
    <n v="2575.37"/>
    <n v="857.75"/>
    <n v="5"/>
    <x v="5"/>
    <n v="2025"/>
  </r>
  <r>
    <s v="O-1218"/>
    <s v="30-Aug-2025"/>
    <s v="Ravi Patel"/>
    <x v="3"/>
    <s v="Laptop"/>
    <x v="58"/>
    <x v="0"/>
    <x v="1"/>
    <n v="3"/>
    <n v="49376"/>
    <n v="7.0000000000000007E-2"/>
    <n v="137759.04000000001"/>
    <n v="118865.67"/>
    <n v="18893.37"/>
    <n v="8"/>
    <x v="6"/>
    <n v="2025"/>
  </r>
  <r>
    <s v="O-1219"/>
    <s v="12-Oct-2025"/>
    <s v="Aman Tiwari"/>
    <x v="0"/>
    <s v="Washing Machine"/>
    <x v="12"/>
    <x v="7"/>
    <x v="3"/>
    <n v="4"/>
    <n v="50456"/>
    <n v="0.15"/>
    <n v="171550.4"/>
    <n v="144890.07999999999"/>
    <n v="26660.32"/>
    <n v="10"/>
    <x v="9"/>
    <n v="2025"/>
  </r>
  <r>
    <s v="O-1220"/>
    <s v="31-Jul-2025"/>
    <s v="Nikhil Joshi"/>
    <x v="2"/>
    <s v="Jacket"/>
    <x v="31"/>
    <x v="1"/>
    <x v="2"/>
    <n v="3"/>
    <n v="51757"/>
    <n v="0.04"/>
    <n v="149060.16"/>
    <n v="123041.74"/>
    <n v="26018.42"/>
    <n v="7"/>
    <x v="8"/>
    <n v="2025"/>
  </r>
  <r>
    <s v="O-1221"/>
    <s v="27-May-2025"/>
    <s v="Nikhil Joshi"/>
    <x v="1"/>
    <s v="Table"/>
    <x v="1"/>
    <x v="3"/>
    <x v="0"/>
    <n v="1"/>
    <n v="14503"/>
    <n v="0.06"/>
    <n v="13632.82"/>
    <n v="11745.95"/>
    <n v="1886.87"/>
    <n v="5"/>
    <x v="5"/>
    <n v="2025"/>
  </r>
  <r>
    <s v="O-1222"/>
    <s v="06-Jan-2025"/>
    <s v="Pooja Jain"/>
    <x v="3"/>
    <s v="Headphones"/>
    <x v="59"/>
    <x v="1"/>
    <x v="3"/>
    <n v="3"/>
    <n v="43768"/>
    <n v="0.08"/>
    <n v="120799.67999999999"/>
    <n v="101202"/>
    <n v="19597.68"/>
    <n v="1"/>
    <x v="4"/>
    <n v="2025"/>
  </r>
  <r>
    <s v="O-1223"/>
    <s v="14-Jul-2025"/>
    <s v="Aman Tiwari"/>
    <x v="0"/>
    <s v="Refrigerator"/>
    <x v="32"/>
    <x v="4"/>
    <x v="2"/>
    <n v="3"/>
    <n v="44350"/>
    <n v="0.09"/>
    <n v="121075.5"/>
    <n v="102118.05"/>
    <n v="18957.45"/>
    <n v="7"/>
    <x v="8"/>
    <n v="2025"/>
  </r>
  <r>
    <s v="O-1224"/>
    <s v="25-Oct-2025"/>
    <s v="Ravi Patel"/>
    <x v="3"/>
    <s v="Laptop"/>
    <x v="58"/>
    <x v="7"/>
    <x v="0"/>
    <n v="4"/>
    <n v="9129"/>
    <n v="7.0000000000000007E-2"/>
    <n v="33959.879999999997"/>
    <n v="27890.19"/>
    <n v="6069.69"/>
    <n v="10"/>
    <x v="9"/>
    <n v="2025"/>
  </r>
  <r>
    <s v="O-1225"/>
    <s v="07-Mar-2025"/>
    <s v="Suman Rao"/>
    <x v="3"/>
    <s v="Tablet"/>
    <x v="44"/>
    <x v="2"/>
    <x v="3"/>
    <n v="3"/>
    <n v="45904"/>
    <n v="0.12"/>
    <n v="121186.56"/>
    <n v="98496.12"/>
    <n v="22690.44"/>
    <n v="3"/>
    <x v="7"/>
    <n v="2025"/>
  </r>
  <r>
    <s v="O-1226"/>
    <s v="11-May-2025"/>
    <s v="Pooja Jain"/>
    <x v="3"/>
    <s v="Mobile"/>
    <x v="6"/>
    <x v="7"/>
    <x v="0"/>
    <n v="3"/>
    <n v="35168"/>
    <n v="0.1"/>
    <n v="94953.600000000006"/>
    <n v="75396.14"/>
    <n v="19557.46"/>
    <n v="5"/>
    <x v="5"/>
    <n v="2025"/>
  </r>
  <r>
    <s v="O-1227"/>
    <s v="16-Jun-2025"/>
    <s v="Tanya Kapoor"/>
    <x v="1"/>
    <s v="Sofa"/>
    <x v="14"/>
    <x v="2"/>
    <x v="3"/>
    <n v="5"/>
    <n v="17473"/>
    <n v="0.03"/>
    <n v="84744.05"/>
    <n v="68424.19"/>
    <n v="16319.86"/>
    <n v="6"/>
    <x v="1"/>
    <n v="2025"/>
  </r>
  <r>
    <s v="O-1228"/>
    <s v="08-Sep-2025"/>
    <s v="Nikhil Joshi"/>
    <x v="3"/>
    <s v="Mobile"/>
    <x v="56"/>
    <x v="2"/>
    <x v="2"/>
    <n v="1"/>
    <n v="19229"/>
    <n v="0.05"/>
    <n v="18267.55"/>
    <n v="15496.59"/>
    <n v="2770.96"/>
    <n v="9"/>
    <x v="3"/>
    <n v="2025"/>
  </r>
  <r>
    <s v="O-1229"/>
    <s v="10-May-2025"/>
    <s v="Ravi Patel"/>
    <x v="0"/>
    <s v="Washing Machine"/>
    <x v="0"/>
    <x v="3"/>
    <x v="0"/>
    <n v="3"/>
    <n v="20459"/>
    <n v="0.1"/>
    <n v="55239.3"/>
    <n v="39095.040000000001"/>
    <n v="16144.26"/>
    <n v="5"/>
    <x v="5"/>
    <n v="2025"/>
  </r>
  <r>
    <s v="O-1230"/>
    <s v="14-Mar-2025"/>
    <s v="Suman Rao"/>
    <x v="2"/>
    <s v="Shirt"/>
    <x v="23"/>
    <x v="0"/>
    <x v="2"/>
    <n v="3"/>
    <n v="3300"/>
    <n v="0.12"/>
    <n v="8712"/>
    <n v="6619.77"/>
    <n v="2092.23"/>
    <n v="3"/>
    <x v="7"/>
    <n v="2025"/>
  </r>
  <r>
    <s v="O-1231"/>
    <s v="18-Jun-2025"/>
    <s v="Aman Tiwari"/>
    <x v="0"/>
    <s v="Microwave"/>
    <x v="19"/>
    <x v="4"/>
    <x v="1"/>
    <n v="3"/>
    <n v="22084"/>
    <n v="0.06"/>
    <n v="62276.88"/>
    <n v="52689.51"/>
    <n v="9587.3700000000008"/>
    <n v="6"/>
    <x v="1"/>
    <n v="2025"/>
  </r>
  <r>
    <s v="O-1232"/>
    <s v="30-Mar-2025"/>
    <s v="Kiran Singh"/>
    <x v="0"/>
    <s v="Washing Machine"/>
    <x v="47"/>
    <x v="4"/>
    <x v="3"/>
    <n v="2"/>
    <n v="14179"/>
    <n v="0.12"/>
    <n v="24955.040000000001"/>
    <n v="17875.73"/>
    <n v="7079.31"/>
    <n v="3"/>
    <x v="7"/>
    <n v="2025"/>
  </r>
  <r>
    <s v="O-1233"/>
    <s v="10-Jan-2025"/>
    <s v="Pooja Jain"/>
    <x v="3"/>
    <s v="Mobile"/>
    <x v="28"/>
    <x v="4"/>
    <x v="0"/>
    <n v="4"/>
    <n v="7956"/>
    <n v="0.09"/>
    <n v="28959.84"/>
    <n v="25163.71"/>
    <n v="3796.13"/>
    <n v="1"/>
    <x v="4"/>
    <n v="2025"/>
  </r>
  <r>
    <s v="O-1234"/>
    <s v="02-Mar-2025"/>
    <s v="Suman Rao"/>
    <x v="2"/>
    <s v="Dress"/>
    <x v="27"/>
    <x v="1"/>
    <x v="3"/>
    <n v="2"/>
    <n v="26636"/>
    <n v="0.14000000000000001"/>
    <n v="45813.919999999998"/>
    <n v="40005.230000000003"/>
    <n v="5808.69"/>
    <n v="3"/>
    <x v="7"/>
    <n v="2025"/>
  </r>
  <r>
    <s v="O-1235"/>
    <s v="04-Feb-2025"/>
    <s v="Pooja Jain"/>
    <x v="3"/>
    <s v="Tablet"/>
    <x v="24"/>
    <x v="1"/>
    <x v="0"/>
    <n v="1"/>
    <n v="51630"/>
    <n v="7.0000000000000007E-2"/>
    <n v="48015.9"/>
    <n v="40618.07"/>
    <n v="7397.83"/>
    <n v="2"/>
    <x v="2"/>
    <n v="2025"/>
  </r>
  <r>
    <s v="O-1236"/>
    <s v="09-Oct-2025"/>
    <s v="Aman Tiwari"/>
    <x v="3"/>
    <s v="Laptop"/>
    <x v="40"/>
    <x v="0"/>
    <x v="3"/>
    <n v="1"/>
    <n v="52907"/>
    <n v="0.06"/>
    <n v="49732.58"/>
    <n v="42851.06"/>
    <n v="6881.52"/>
    <n v="10"/>
    <x v="9"/>
    <n v="2025"/>
  </r>
  <r>
    <s v="O-1237"/>
    <s v="25-Apr-2025"/>
    <s v="Suman Rao"/>
    <x v="3"/>
    <s v="Headphones"/>
    <x v="59"/>
    <x v="4"/>
    <x v="0"/>
    <n v="1"/>
    <n v="41628"/>
    <n v="0.02"/>
    <n v="40795.440000000002"/>
    <n v="31120.21"/>
    <n v="9675.23"/>
    <n v="4"/>
    <x v="0"/>
    <n v="2025"/>
  </r>
  <r>
    <s v="O-1238"/>
    <s v="16-Feb-2025"/>
    <s v="Aman Tiwari"/>
    <x v="3"/>
    <s v="Laptop"/>
    <x v="58"/>
    <x v="1"/>
    <x v="2"/>
    <n v="5"/>
    <n v="25924"/>
    <n v="0.12"/>
    <n v="114065.60000000001"/>
    <n v="99973.13"/>
    <n v="14092.47"/>
    <n v="2"/>
    <x v="2"/>
    <n v="2025"/>
  </r>
  <r>
    <s v="O-1239"/>
    <s v="29-May-2025"/>
    <s v="Aman Tiwari"/>
    <x v="2"/>
    <s v="Shirt"/>
    <x v="22"/>
    <x v="5"/>
    <x v="2"/>
    <n v="3"/>
    <n v="56777"/>
    <n v="7.0000000000000007E-2"/>
    <n v="158407.82999999999"/>
    <n v="121124.98"/>
    <n v="37282.85"/>
    <n v="5"/>
    <x v="5"/>
    <n v="2025"/>
  </r>
  <r>
    <s v="O-1240"/>
    <s v="29-Sep-2025"/>
    <s v="Tanya Kapoor"/>
    <x v="2"/>
    <s v="Dress"/>
    <x v="57"/>
    <x v="5"/>
    <x v="0"/>
    <n v="4"/>
    <n v="52424"/>
    <n v="0.05"/>
    <n v="199211.2"/>
    <n v="154471.99"/>
    <n v="44739.21"/>
    <n v="9"/>
    <x v="3"/>
    <n v="2025"/>
  </r>
  <r>
    <s v="O-1241"/>
    <s v="14-Jun-2025"/>
    <s v="Aman Tiwari"/>
    <x v="1"/>
    <s v="Sofa"/>
    <x v="54"/>
    <x v="0"/>
    <x v="2"/>
    <n v="1"/>
    <n v="44788"/>
    <n v="0.04"/>
    <n v="42996.480000000003"/>
    <n v="32329.39"/>
    <n v="10667.09"/>
    <n v="6"/>
    <x v="1"/>
    <n v="2025"/>
  </r>
  <r>
    <s v="O-1242"/>
    <s v="22-May-2025"/>
    <s v="Kiran Singh"/>
    <x v="3"/>
    <s v="Headphones"/>
    <x v="55"/>
    <x v="4"/>
    <x v="0"/>
    <n v="5"/>
    <n v="22338"/>
    <n v="0.11"/>
    <n v="99404.1"/>
    <n v="72587.649999999994"/>
    <n v="26816.45"/>
    <n v="5"/>
    <x v="5"/>
    <n v="2025"/>
  </r>
  <r>
    <s v="O-1243"/>
    <s v="18-Jan-2025"/>
    <s v="Ravi Patel"/>
    <x v="3"/>
    <s v="Tablet"/>
    <x v="24"/>
    <x v="0"/>
    <x v="0"/>
    <n v="4"/>
    <n v="55115"/>
    <n v="0.06"/>
    <n v="207232.4"/>
    <n v="154062.97"/>
    <n v="53169.43"/>
    <n v="1"/>
    <x v="4"/>
    <n v="2025"/>
  </r>
  <r>
    <s v="O-1244"/>
    <s v="17-Aug-2025"/>
    <s v="Nikhil Joshi"/>
    <x v="0"/>
    <s v="Microwave"/>
    <x v="39"/>
    <x v="3"/>
    <x v="2"/>
    <n v="1"/>
    <n v="21181"/>
    <n v="0.09"/>
    <n v="19274.71"/>
    <n v="14595.7"/>
    <n v="4679.01"/>
    <n v="8"/>
    <x v="6"/>
    <n v="2025"/>
  </r>
  <r>
    <s v="O-1245"/>
    <s v="23-Aug-2025"/>
    <s v="Kiran Singh"/>
    <x v="2"/>
    <s v="Shirt"/>
    <x v="23"/>
    <x v="1"/>
    <x v="1"/>
    <n v="2"/>
    <n v="54799"/>
    <n v="0.04"/>
    <n v="105214.08"/>
    <n v="81634.31"/>
    <n v="23579.77"/>
    <n v="8"/>
    <x v="6"/>
    <n v="2025"/>
  </r>
  <r>
    <s v="O-1246"/>
    <s v="12-Mar-2025"/>
    <s v="Ravi Patel"/>
    <x v="0"/>
    <s v="Mixer"/>
    <x v="53"/>
    <x v="7"/>
    <x v="2"/>
    <n v="1"/>
    <n v="50732"/>
    <n v="7.0000000000000007E-2"/>
    <n v="47180.76"/>
    <n v="38061.279999999999"/>
    <n v="9119.48"/>
    <n v="3"/>
    <x v="7"/>
    <n v="2025"/>
  </r>
  <r>
    <s v="O-1247"/>
    <s v="06-Aug-2025"/>
    <s v="Deepak Chauhan"/>
    <x v="0"/>
    <s v="Mixer"/>
    <x v="53"/>
    <x v="4"/>
    <x v="2"/>
    <n v="5"/>
    <n v="20660"/>
    <n v="0.06"/>
    <n v="97102"/>
    <n v="76154.44"/>
    <n v="20947.560000000001"/>
    <n v="8"/>
    <x v="6"/>
    <n v="2025"/>
  </r>
  <r>
    <s v="O-1248"/>
    <s v="07-Jun-2025"/>
    <s v="Deepak Chauhan"/>
    <x v="1"/>
    <s v="Sofa"/>
    <x v="54"/>
    <x v="4"/>
    <x v="3"/>
    <n v="4"/>
    <n v="59980"/>
    <n v="0.02"/>
    <n v="235121.6"/>
    <n v="172668.98"/>
    <n v="62452.62"/>
    <n v="6"/>
    <x v="1"/>
    <n v="2025"/>
  </r>
  <r>
    <s v="O-1249"/>
    <s v="23-Oct-2025"/>
    <s v="Raj Sharma"/>
    <x v="0"/>
    <s v="Washing Machine"/>
    <x v="48"/>
    <x v="6"/>
    <x v="2"/>
    <n v="2"/>
    <n v="1546"/>
    <n v="0.05"/>
    <n v="2937.4"/>
    <n v="2387.0100000000002"/>
    <n v="550.39"/>
    <n v="10"/>
    <x v="9"/>
    <n v="2025"/>
  </r>
  <r>
    <s v="O-1250"/>
    <s v="08-Oct-2025"/>
    <s v="Suman Rao"/>
    <x v="2"/>
    <s v="Shirt"/>
    <x v="22"/>
    <x v="3"/>
    <x v="1"/>
    <n v="1"/>
    <n v="56207"/>
    <n v="0.03"/>
    <n v="54520.79"/>
    <n v="46884.35"/>
    <n v="7636.44"/>
    <n v="10"/>
    <x v="9"/>
    <n v="2025"/>
  </r>
  <r>
    <s v="O-1251"/>
    <s v="10-May-2025"/>
    <s v="Nikhil Joshi"/>
    <x v="2"/>
    <s v="Dress"/>
    <x v="60"/>
    <x v="1"/>
    <x v="2"/>
    <n v="5"/>
    <n v="54647"/>
    <n v="0.1"/>
    <n v="245911.5"/>
    <n v="184981.37"/>
    <n v="60930.13"/>
    <n v="5"/>
    <x v="5"/>
    <n v="2025"/>
  </r>
  <r>
    <s v="O-1252"/>
    <s v="06-Apr-2025"/>
    <s v="Nikhil Joshi"/>
    <x v="3"/>
    <s v="Tablet"/>
    <x v="7"/>
    <x v="1"/>
    <x v="0"/>
    <n v="1"/>
    <n v="18819"/>
    <n v="0.13"/>
    <n v="16372.53"/>
    <n v="11740.16"/>
    <n v="4632.37"/>
    <n v="4"/>
    <x v="0"/>
    <n v="2025"/>
  </r>
  <r>
    <s v="O-1253"/>
    <s v="21-Oct-2025"/>
    <s v="Raj Sharma"/>
    <x v="2"/>
    <s v="Shirt"/>
    <x v="22"/>
    <x v="7"/>
    <x v="2"/>
    <n v="3"/>
    <n v="44404"/>
    <n v="0.12"/>
    <n v="117226.56"/>
    <n v="100729.1"/>
    <n v="16497.46"/>
    <n v="10"/>
    <x v="9"/>
    <n v="2025"/>
  </r>
  <r>
    <s v="O-1254"/>
    <s v="04-Oct-2025"/>
    <s v="Pooja Jain"/>
    <x v="0"/>
    <s v="Mixer"/>
    <x v="61"/>
    <x v="6"/>
    <x v="2"/>
    <n v="5"/>
    <n v="53854"/>
    <n v="0.14000000000000001"/>
    <n v="231572.2"/>
    <n v="187705.02"/>
    <n v="43867.18"/>
    <n v="10"/>
    <x v="9"/>
    <n v="2025"/>
  </r>
  <r>
    <s v="O-1255"/>
    <s v="03-Jul-2025"/>
    <s v="Kiran Singh"/>
    <x v="2"/>
    <s v="Jeans"/>
    <x v="10"/>
    <x v="0"/>
    <x v="1"/>
    <n v="4"/>
    <n v="18357"/>
    <n v="0.12"/>
    <n v="64616.639999999999"/>
    <n v="53632.07"/>
    <n v="10984.57"/>
    <n v="7"/>
    <x v="8"/>
    <n v="2025"/>
  </r>
  <r>
    <s v="O-1256"/>
    <s v="02-Aug-2025"/>
    <s v="Nikhil Joshi"/>
    <x v="1"/>
    <s v="Bookshelf"/>
    <x v="42"/>
    <x v="3"/>
    <x v="0"/>
    <n v="2"/>
    <n v="51633"/>
    <n v="0.09"/>
    <n v="93972.06"/>
    <n v="79446.399999999994"/>
    <n v="14525.66"/>
    <n v="8"/>
    <x v="6"/>
    <n v="2025"/>
  </r>
  <r>
    <s v="O-1257"/>
    <s v="27-Apr-2025"/>
    <s v="Pooja Jain"/>
    <x v="2"/>
    <s v="Jacket"/>
    <x v="26"/>
    <x v="2"/>
    <x v="1"/>
    <n v="2"/>
    <n v="57085"/>
    <n v="0.13"/>
    <n v="99327.9"/>
    <n v="71715.17"/>
    <n v="27612.73"/>
    <n v="4"/>
    <x v="0"/>
    <n v="2025"/>
  </r>
  <r>
    <s v="O-1258"/>
    <s v="28-Jul-2025"/>
    <s v="Nikhil Joshi"/>
    <x v="0"/>
    <s v="Microwave"/>
    <x v="39"/>
    <x v="7"/>
    <x v="3"/>
    <n v="3"/>
    <n v="58625"/>
    <n v="0.03"/>
    <n v="170598.75"/>
    <n v="152489.62"/>
    <n v="18109.13"/>
    <n v="7"/>
    <x v="8"/>
    <n v="2025"/>
  </r>
  <r>
    <s v="O-1259"/>
    <s v="12-Mar-2025"/>
    <s v="Tanya Kapoor"/>
    <x v="0"/>
    <s v="Washing Machine"/>
    <x v="12"/>
    <x v="2"/>
    <x v="0"/>
    <n v="4"/>
    <n v="5110"/>
    <n v="7.0000000000000007E-2"/>
    <n v="19009.2"/>
    <n v="16210.58"/>
    <n v="2798.62"/>
    <n v="3"/>
    <x v="7"/>
    <n v="2025"/>
  </r>
  <r>
    <s v="O-1260"/>
    <s v="08-Jul-2025"/>
    <s v="Nikhil Joshi"/>
    <x v="2"/>
    <s v="Shirt"/>
    <x v="37"/>
    <x v="2"/>
    <x v="3"/>
    <n v="4"/>
    <n v="12232"/>
    <n v="0.1"/>
    <n v="44035.199999999997"/>
    <n v="36428.879999999997"/>
    <n v="7606.32"/>
    <n v="7"/>
    <x v="8"/>
    <n v="2025"/>
  </r>
  <r>
    <s v="O-1261"/>
    <s v="21-Sep-2025"/>
    <s v="Tanya Kapoor"/>
    <x v="0"/>
    <s v="Refrigerator"/>
    <x v="30"/>
    <x v="1"/>
    <x v="1"/>
    <n v="1"/>
    <n v="40837"/>
    <n v="7.0000000000000007E-2"/>
    <n v="37978.410000000003"/>
    <n v="33788.07"/>
    <n v="4190.34"/>
    <n v="9"/>
    <x v="3"/>
    <n v="2025"/>
  </r>
  <r>
    <s v="O-1262"/>
    <s v="10-May-2025"/>
    <s v="Kiran Singh"/>
    <x v="1"/>
    <s v="Table"/>
    <x v="1"/>
    <x v="3"/>
    <x v="2"/>
    <n v="5"/>
    <n v="17127"/>
    <n v="0.02"/>
    <n v="83922.3"/>
    <n v="70587.490000000005"/>
    <n v="13334.81"/>
    <n v="5"/>
    <x v="5"/>
    <n v="2025"/>
  </r>
  <r>
    <s v="O-1263"/>
    <s v="25-Mar-2025"/>
    <s v="Ravi Patel"/>
    <x v="0"/>
    <s v="Mixer"/>
    <x v="53"/>
    <x v="4"/>
    <x v="1"/>
    <n v="3"/>
    <n v="13219"/>
    <n v="0.06"/>
    <n v="37277.58"/>
    <n v="28730.11"/>
    <n v="8547.4699999999993"/>
    <n v="3"/>
    <x v="7"/>
    <n v="2025"/>
  </r>
  <r>
    <s v="O-1264"/>
    <s v="15-Feb-2025"/>
    <s v="Ravi Patel"/>
    <x v="3"/>
    <s v="Laptop"/>
    <x v="33"/>
    <x v="7"/>
    <x v="1"/>
    <n v="2"/>
    <n v="18972"/>
    <n v="0.11"/>
    <n v="33770.160000000003"/>
    <n v="28079.9"/>
    <n v="5690.26"/>
    <n v="2"/>
    <x v="2"/>
    <n v="2025"/>
  </r>
  <r>
    <s v="O-1265"/>
    <s v="03-May-2025"/>
    <s v="Pooja Jain"/>
    <x v="1"/>
    <s v="Sofa"/>
    <x v="52"/>
    <x v="6"/>
    <x v="1"/>
    <n v="2"/>
    <n v="31188"/>
    <n v="0.06"/>
    <n v="58633.440000000002"/>
    <n v="49942.53"/>
    <n v="8690.91"/>
    <n v="5"/>
    <x v="5"/>
    <n v="2025"/>
  </r>
  <r>
    <s v="O-1266"/>
    <s v="15-May-2025"/>
    <s v="Raj Sharma"/>
    <x v="1"/>
    <s v="Chair"/>
    <x v="8"/>
    <x v="0"/>
    <x v="0"/>
    <n v="1"/>
    <n v="10103"/>
    <n v="0.03"/>
    <n v="9799.91"/>
    <n v="7900.26"/>
    <n v="1899.65"/>
    <n v="5"/>
    <x v="5"/>
    <n v="2025"/>
  </r>
  <r>
    <s v="O-1267"/>
    <s v="10-Sep-2025"/>
    <s v="Kiran Singh"/>
    <x v="1"/>
    <s v="Table"/>
    <x v="1"/>
    <x v="6"/>
    <x v="3"/>
    <n v="3"/>
    <n v="50285"/>
    <n v="0.13"/>
    <n v="131243.85"/>
    <n v="114973.09"/>
    <n v="16270.76"/>
    <n v="9"/>
    <x v="3"/>
    <n v="2025"/>
  </r>
  <r>
    <s v="O-1268"/>
    <s v="04-Feb-2025"/>
    <s v="Raj Sharma"/>
    <x v="1"/>
    <s v="Bookshelf"/>
    <x v="42"/>
    <x v="7"/>
    <x v="1"/>
    <n v="2"/>
    <n v="35202"/>
    <n v="0.04"/>
    <n v="67587.839999999997"/>
    <n v="48310.77"/>
    <n v="19277.07"/>
    <n v="2"/>
    <x v="2"/>
    <n v="2025"/>
  </r>
  <r>
    <s v="O-1269"/>
    <s v="28-Jul-2025"/>
    <s v="Suman Rao"/>
    <x v="0"/>
    <s v="Microwave"/>
    <x v="39"/>
    <x v="4"/>
    <x v="0"/>
    <n v="5"/>
    <n v="47322"/>
    <n v="0.14000000000000001"/>
    <n v="203484.6"/>
    <n v="179407.11"/>
    <n v="24077.49"/>
    <n v="7"/>
    <x v="8"/>
    <n v="2025"/>
  </r>
  <r>
    <s v="O-1270"/>
    <s v="27-Jun-2025"/>
    <s v="Raj Sharma"/>
    <x v="0"/>
    <s v="Refrigerator"/>
    <x v="4"/>
    <x v="7"/>
    <x v="0"/>
    <n v="2"/>
    <n v="24940"/>
    <n v="0.04"/>
    <n v="47884.800000000003"/>
    <n v="42476.65"/>
    <n v="5408.15"/>
    <n v="6"/>
    <x v="1"/>
    <n v="2025"/>
  </r>
  <r>
    <s v="O-1271"/>
    <s v="28-Aug-2025"/>
    <s v="Meena Verma"/>
    <x v="1"/>
    <s v="Table"/>
    <x v="62"/>
    <x v="4"/>
    <x v="0"/>
    <n v="1"/>
    <n v="31949"/>
    <n v="7.0000000000000007E-2"/>
    <n v="29712.57"/>
    <n v="22739.69"/>
    <n v="6972.88"/>
    <n v="8"/>
    <x v="6"/>
    <n v="2025"/>
  </r>
  <r>
    <s v="O-1272"/>
    <s v="12-May-2025"/>
    <s v="Raj Sharma"/>
    <x v="3"/>
    <s v="Headphones"/>
    <x v="17"/>
    <x v="3"/>
    <x v="2"/>
    <n v="3"/>
    <n v="23474"/>
    <n v="0.05"/>
    <n v="66900.899999999994"/>
    <n v="56960.800000000003"/>
    <n v="9940.1"/>
    <n v="5"/>
    <x v="5"/>
    <n v="2025"/>
  </r>
  <r>
    <s v="O-1273"/>
    <s v="01-Jul-2025"/>
    <s v="Kiran Singh"/>
    <x v="2"/>
    <s v="Dress"/>
    <x v="27"/>
    <x v="5"/>
    <x v="1"/>
    <n v="5"/>
    <n v="16348"/>
    <n v="0.06"/>
    <n v="76835.600000000006"/>
    <n v="57013.599999999999"/>
    <n v="19822"/>
    <n v="7"/>
    <x v="8"/>
    <n v="2025"/>
  </r>
  <r>
    <s v="O-1274"/>
    <s v="08-May-2025"/>
    <s v="Deepak Chauhan"/>
    <x v="1"/>
    <s v="Sofa"/>
    <x v="52"/>
    <x v="0"/>
    <x v="3"/>
    <n v="1"/>
    <n v="6674"/>
    <n v="0.15"/>
    <n v="5672.9"/>
    <n v="4975.54"/>
    <n v="697.36"/>
    <n v="5"/>
    <x v="5"/>
    <n v="2025"/>
  </r>
  <r>
    <s v="O-1275"/>
    <s v="20-Oct-2025"/>
    <s v="Deepak Chauhan"/>
    <x v="1"/>
    <s v="Table"/>
    <x v="1"/>
    <x v="0"/>
    <x v="1"/>
    <n v="1"/>
    <n v="31208"/>
    <n v="0.14000000000000001"/>
    <n v="26838.880000000001"/>
    <n v="20178.57"/>
    <n v="6660.31"/>
    <n v="10"/>
    <x v="9"/>
    <n v="2025"/>
  </r>
  <r>
    <s v="O-1276"/>
    <s v="29-Aug-2025"/>
    <s v="Suman Rao"/>
    <x v="1"/>
    <s v="Bookshelf"/>
    <x v="29"/>
    <x v="7"/>
    <x v="3"/>
    <n v="3"/>
    <n v="55378"/>
    <n v="0.05"/>
    <n v="157827.29999999999"/>
    <n v="129312.36"/>
    <n v="28514.94"/>
    <n v="8"/>
    <x v="6"/>
    <n v="2025"/>
  </r>
  <r>
    <s v="O-1277"/>
    <s v="10-Apr-2025"/>
    <s v="Nikhil Joshi"/>
    <x v="0"/>
    <s v="Refrigerator"/>
    <x v="32"/>
    <x v="5"/>
    <x v="0"/>
    <n v="2"/>
    <n v="7206"/>
    <n v="0.05"/>
    <n v="13691.4"/>
    <n v="12161.07"/>
    <n v="1530.33"/>
    <n v="4"/>
    <x v="0"/>
    <n v="2025"/>
  </r>
  <r>
    <s v="O-1278"/>
    <s v="02-Sep-2025"/>
    <s v="Deepak Chauhan"/>
    <x v="2"/>
    <s v="Dress"/>
    <x v="27"/>
    <x v="0"/>
    <x v="0"/>
    <n v="5"/>
    <n v="6651"/>
    <n v="0.08"/>
    <n v="30594.6"/>
    <n v="26732.09"/>
    <n v="3862.51"/>
    <n v="9"/>
    <x v="3"/>
    <n v="2025"/>
  </r>
  <r>
    <s v="O-1279"/>
    <s v="10-Mar-2025"/>
    <s v="Pooja Jain"/>
    <x v="0"/>
    <s v="Microwave"/>
    <x v="19"/>
    <x v="1"/>
    <x v="1"/>
    <n v="3"/>
    <n v="48598"/>
    <n v="0.04"/>
    <n v="139962.23999999999"/>
    <n v="108670.32"/>
    <n v="31291.919999999998"/>
    <n v="3"/>
    <x v="7"/>
    <n v="2025"/>
  </r>
  <r>
    <s v="O-1280"/>
    <s v="07-Jul-2025"/>
    <s v="Pooja Jain"/>
    <x v="2"/>
    <s v="Jacket"/>
    <x v="36"/>
    <x v="4"/>
    <x v="0"/>
    <n v="3"/>
    <n v="9589"/>
    <n v="0.03"/>
    <n v="27903.99"/>
    <n v="20366.62"/>
    <n v="7537.37"/>
    <n v="7"/>
    <x v="8"/>
    <n v="2025"/>
  </r>
  <r>
    <s v="O-1281"/>
    <s v="12-Jan-2025"/>
    <s v="Kiran Singh"/>
    <x v="0"/>
    <s v="Refrigerator"/>
    <x v="63"/>
    <x v="7"/>
    <x v="2"/>
    <n v="3"/>
    <n v="13372"/>
    <n v="0.09"/>
    <n v="36505.56"/>
    <n v="29813.93"/>
    <n v="6691.63"/>
    <n v="1"/>
    <x v="4"/>
    <n v="2025"/>
  </r>
  <r>
    <s v="O-1282"/>
    <s v="21-Jan-2025"/>
    <s v="Deepak Chauhan"/>
    <x v="2"/>
    <s v="Dress"/>
    <x v="45"/>
    <x v="4"/>
    <x v="3"/>
    <n v="4"/>
    <n v="30216"/>
    <n v="0.1"/>
    <n v="108777.60000000001"/>
    <n v="81532.56"/>
    <n v="27245.040000000001"/>
    <n v="1"/>
    <x v="4"/>
    <n v="2025"/>
  </r>
  <r>
    <s v="O-1283"/>
    <s v="25-Jan-2025"/>
    <s v="Raj Sharma"/>
    <x v="2"/>
    <s v="Jeans"/>
    <x v="5"/>
    <x v="3"/>
    <x v="0"/>
    <n v="3"/>
    <n v="5525"/>
    <n v="0.1"/>
    <n v="14917.5"/>
    <n v="12328.9"/>
    <n v="2588.6"/>
    <n v="1"/>
    <x v="4"/>
    <n v="2025"/>
  </r>
  <r>
    <s v="O-1284"/>
    <s v="26-Oct-2025"/>
    <s v="Tanya Kapoor"/>
    <x v="0"/>
    <s v="Microwave"/>
    <x v="15"/>
    <x v="3"/>
    <x v="3"/>
    <n v="4"/>
    <n v="39871"/>
    <n v="0.13"/>
    <n v="138751.07999999999"/>
    <n v="114050.33"/>
    <n v="24700.75"/>
    <n v="10"/>
    <x v="9"/>
    <n v="2025"/>
  </r>
  <r>
    <s v="O-1285"/>
    <s v="19-Aug-2025"/>
    <s v="Nikhil Joshi"/>
    <x v="2"/>
    <s v="Jeans"/>
    <x v="10"/>
    <x v="0"/>
    <x v="2"/>
    <n v="5"/>
    <n v="50961"/>
    <n v="0.15"/>
    <n v="216584.25"/>
    <n v="160644.82"/>
    <n v="55939.43"/>
    <n v="8"/>
    <x v="6"/>
    <n v="2025"/>
  </r>
  <r>
    <s v="O-1286"/>
    <s v="18-Feb-2025"/>
    <s v="Tanya Kapoor"/>
    <x v="1"/>
    <s v="Sofa"/>
    <x v="54"/>
    <x v="0"/>
    <x v="2"/>
    <n v="2"/>
    <n v="45836"/>
    <n v="0.1"/>
    <n v="82504.800000000003"/>
    <n v="72032.479999999996"/>
    <n v="10472.32"/>
    <n v="2"/>
    <x v="2"/>
    <n v="2025"/>
  </r>
  <r>
    <s v="O-1287"/>
    <s v="08-Feb-2025"/>
    <s v="Aman Tiwari"/>
    <x v="0"/>
    <s v="Microwave"/>
    <x v="2"/>
    <x v="7"/>
    <x v="1"/>
    <n v="5"/>
    <n v="18971"/>
    <n v="0.14000000000000001"/>
    <n v="81575.3"/>
    <n v="71235.63"/>
    <n v="10339.67"/>
    <n v="2"/>
    <x v="2"/>
    <n v="2025"/>
  </r>
  <r>
    <s v="O-1288"/>
    <s v="01-Jul-2025"/>
    <s v="Meena Verma"/>
    <x v="2"/>
    <s v="Shirt"/>
    <x v="23"/>
    <x v="7"/>
    <x v="1"/>
    <n v="3"/>
    <n v="59471"/>
    <n v="0.08"/>
    <n v="164139.96"/>
    <n v="147041.9"/>
    <n v="17098.060000000001"/>
    <n v="7"/>
    <x v="8"/>
    <n v="2025"/>
  </r>
  <r>
    <s v="O-1289"/>
    <s v="02-Apr-2025"/>
    <s v="Pooja Jain"/>
    <x v="1"/>
    <s v="Table"/>
    <x v="1"/>
    <x v="4"/>
    <x v="0"/>
    <n v="5"/>
    <n v="17477"/>
    <n v="0.09"/>
    <n v="79520.350000000006"/>
    <n v="67029.009999999995"/>
    <n v="12491.34"/>
    <n v="4"/>
    <x v="0"/>
    <n v="2025"/>
  </r>
  <r>
    <s v="O-1290"/>
    <s v="24-May-2025"/>
    <s v="Pooja Jain"/>
    <x v="1"/>
    <s v="Sofa"/>
    <x v="52"/>
    <x v="7"/>
    <x v="1"/>
    <n v="2"/>
    <n v="34325"/>
    <n v="7.0000000000000007E-2"/>
    <n v="63844.5"/>
    <n v="52172.46"/>
    <n v="11672.04"/>
    <n v="5"/>
    <x v="5"/>
    <n v="2025"/>
  </r>
  <r>
    <s v="O-1291"/>
    <s v="21-Aug-2025"/>
    <s v="Raj Sharma"/>
    <x v="3"/>
    <s v="Headphones"/>
    <x v="17"/>
    <x v="6"/>
    <x v="0"/>
    <n v="1"/>
    <n v="40135"/>
    <n v="0.11"/>
    <n v="35720.15"/>
    <n v="29382.26"/>
    <n v="6337.89"/>
    <n v="8"/>
    <x v="6"/>
    <n v="2025"/>
  </r>
  <r>
    <s v="O-1292"/>
    <s v="04-Apr-2025"/>
    <s v="Pooja Jain"/>
    <x v="3"/>
    <s v="Tablet"/>
    <x v="7"/>
    <x v="1"/>
    <x v="0"/>
    <n v="1"/>
    <n v="50077"/>
    <n v="0.14000000000000001"/>
    <n v="43066.22"/>
    <n v="31438.27"/>
    <n v="11627.95"/>
    <n v="4"/>
    <x v="0"/>
    <n v="2025"/>
  </r>
  <r>
    <s v="O-1293"/>
    <s v="15-Oct-2025"/>
    <s v="Meena Verma"/>
    <x v="1"/>
    <s v="Sofa"/>
    <x v="54"/>
    <x v="4"/>
    <x v="1"/>
    <n v="3"/>
    <n v="45032"/>
    <n v="0.11"/>
    <n v="120235.44"/>
    <n v="90212.78"/>
    <n v="30022.66"/>
    <n v="10"/>
    <x v="9"/>
    <n v="2025"/>
  </r>
  <r>
    <s v="O-1294"/>
    <s v="25-May-2025"/>
    <s v="Aman Tiwari"/>
    <x v="2"/>
    <s v="Shirt"/>
    <x v="25"/>
    <x v="2"/>
    <x v="1"/>
    <n v="1"/>
    <n v="35436"/>
    <n v="0.09"/>
    <n v="32246.76"/>
    <n v="24948.55"/>
    <n v="7298.21"/>
    <n v="5"/>
    <x v="5"/>
    <n v="2025"/>
  </r>
  <r>
    <s v="O-1295"/>
    <s v="03-Mar-2025"/>
    <s v="Meena Verma"/>
    <x v="2"/>
    <s v="Jacket"/>
    <x v="31"/>
    <x v="3"/>
    <x v="2"/>
    <n v="2"/>
    <n v="50314"/>
    <n v="0.14000000000000001"/>
    <n v="86540.08"/>
    <n v="72157.34"/>
    <n v="14382.74"/>
    <n v="3"/>
    <x v="7"/>
    <n v="2025"/>
  </r>
  <r>
    <s v="O-1296"/>
    <s v="30-Jan-2025"/>
    <s v="Pooja Jain"/>
    <x v="2"/>
    <s v="Jacket"/>
    <x v="41"/>
    <x v="3"/>
    <x v="3"/>
    <n v="2"/>
    <n v="33539"/>
    <n v="0.05"/>
    <n v="63724.1"/>
    <n v="46180.97"/>
    <n v="17543.13"/>
    <n v="1"/>
    <x v="4"/>
    <n v="2025"/>
  </r>
  <r>
    <s v="O-1297"/>
    <s v="18-Aug-2025"/>
    <s v="Tanya Kapoor"/>
    <x v="2"/>
    <s v="Shirt"/>
    <x v="25"/>
    <x v="4"/>
    <x v="0"/>
    <n v="2"/>
    <n v="51420"/>
    <n v="0.09"/>
    <n v="93584.4"/>
    <n v="83556.58"/>
    <n v="10027.82"/>
    <n v="8"/>
    <x v="6"/>
    <n v="2025"/>
  </r>
  <r>
    <s v="O-1298"/>
    <s v="23-Sep-2025"/>
    <s v="Meena Verma"/>
    <x v="1"/>
    <s v="Chair"/>
    <x v="51"/>
    <x v="7"/>
    <x v="3"/>
    <n v="1"/>
    <n v="42774"/>
    <n v="0.09"/>
    <n v="38924.339999999997"/>
    <n v="30240.959999999999"/>
    <n v="8683.3799999999992"/>
    <n v="9"/>
    <x v="3"/>
    <n v="2025"/>
  </r>
  <r>
    <s v="O-1299"/>
    <s v="18-Jun-2025"/>
    <s v="Pooja Jain"/>
    <x v="1"/>
    <s v="Bookshelf"/>
    <x v="42"/>
    <x v="4"/>
    <x v="1"/>
    <n v="3"/>
    <n v="33908"/>
    <n v="0.12"/>
    <n v="89517.119999999995"/>
    <n v="64747.38"/>
    <n v="24769.74"/>
    <n v="6"/>
    <x v="1"/>
    <n v="2025"/>
  </r>
  <r>
    <s v="O-1300"/>
    <s v="26-Feb-2025"/>
    <s v="Ravi Patel"/>
    <x v="3"/>
    <s v="Laptop"/>
    <x v="58"/>
    <x v="2"/>
    <x v="1"/>
    <n v="2"/>
    <n v="56462"/>
    <n v="0.14000000000000001"/>
    <n v="97114.64"/>
    <n v="79514.73"/>
    <n v="17599.91"/>
    <n v="2"/>
    <x v="2"/>
    <n v="2025"/>
  </r>
  <r>
    <s v="O-1301"/>
    <s v="15-Jan-2025"/>
    <s v="Kiran Singh"/>
    <x v="2"/>
    <s v="Shirt"/>
    <x v="37"/>
    <x v="7"/>
    <x v="1"/>
    <n v="4"/>
    <n v="24665"/>
    <n v="0.1"/>
    <n v="88794"/>
    <n v="78973.429999999993"/>
    <n v="9820.57"/>
    <n v="1"/>
    <x v="4"/>
    <n v="2025"/>
  </r>
  <r>
    <s v="O-1302"/>
    <s v="09-Feb-2025"/>
    <s v="Pooja Jain"/>
    <x v="0"/>
    <s v="Washing Machine"/>
    <x v="0"/>
    <x v="7"/>
    <x v="0"/>
    <n v="1"/>
    <n v="47413"/>
    <n v="0.05"/>
    <n v="45042.35"/>
    <n v="32224.21"/>
    <n v="12818.14"/>
    <n v="2"/>
    <x v="2"/>
    <n v="2025"/>
  </r>
  <r>
    <s v="O-1303"/>
    <s v="05-Apr-2025"/>
    <s v="Deepak Chauhan"/>
    <x v="1"/>
    <s v="Chair"/>
    <x v="8"/>
    <x v="0"/>
    <x v="0"/>
    <n v="2"/>
    <n v="53258"/>
    <n v="0.08"/>
    <n v="97994.72"/>
    <n v="87833.77"/>
    <n v="10160.950000000001"/>
    <n v="4"/>
    <x v="0"/>
    <n v="2025"/>
  </r>
  <r>
    <s v="O-1304"/>
    <s v="16-Feb-2025"/>
    <s v="Deepak Chauhan"/>
    <x v="0"/>
    <s v="Washing Machine"/>
    <x v="12"/>
    <x v="0"/>
    <x v="2"/>
    <n v="3"/>
    <n v="51794"/>
    <n v="0.13"/>
    <n v="135182.34"/>
    <n v="100448.75"/>
    <n v="34733.589999999997"/>
    <n v="2"/>
    <x v="2"/>
    <n v="2025"/>
  </r>
  <r>
    <s v="O-1305"/>
    <s v="08-Jan-2025"/>
    <s v="Aman Tiwari"/>
    <x v="2"/>
    <s v="Shirt"/>
    <x v="22"/>
    <x v="5"/>
    <x v="2"/>
    <n v="1"/>
    <n v="41802"/>
    <n v="7.0000000000000007E-2"/>
    <n v="38875.86"/>
    <n v="29603.78"/>
    <n v="9272.08"/>
    <n v="1"/>
    <x v="4"/>
    <n v="2025"/>
  </r>
  <r>
    <s v="O-1306"/>
    <s v="05-Aug-2025"/>
    <s v="Aman Tiwari"/>
    <x v="0"/>
    <s v="Washing Machine"/>
    <x v="0"/>
    <x v="2"/>
    <x v="3"/>
    <n v="3"/>
    <n v="18260"/>
    <n v="0.05"/>
    <n v="52041"/>
    <n v="42968.75"/>
    <n v="9072.25"/>
    <n v="8"/>
    <x v="6"/>
    <n v="2025"/>
  </r>
  <r>
    <s v="O-1307"/>
    <s v="06-Feb-2025"/>
    <s v="Tanya Kapoor"/>
    <x v="1"/>
    <s v="Sofa"/>
    <x v="11"/>
    <x v="7"/>
    <x v="3"/>
    <n v="5"/>
    <n v="53885"/>
    <n v="0.05"/>
    <n v="255953.75"/>
    <n v="229906.83"/>
    <n v="26046.92"/>
    <n v="2"/>
    <x v="2"/>
    <n v="2025"/>
  </r>
  <r>
    <s v="O-1308"/>
    <s v="07-Mar-2025"/>
    <s v="Meena Verma"/>
    <x v="0"/>
    <s v="Mixer"/>
    <x v="53"/>
    <x v="7"/>
    <x v="0"/>
    <n v="3"/>
    <n v="13936"/>
    <n v="0.12"/>
    <n v="36791.040000000001"/>
    <n v="26604"/>
    <n v="10187.040000000001"/>
    <n v="3"/>
    <x v="7"/>
    <n v="2025"/>
  </r>
  <r>
    <s v="O-1309"/>
    <s v="01-Jan-2025"/>
    <s v="Tanya Kapoor"/>
    <x v="0"/>
    <s v="Washing Machine"/>
    <x v="12"/>
    <x v="2"/>
    <x v="3"/>
    <n v="2"/>
    <n v="35008"/>
    <n v="0.1"/>
    <n v="63014.400000000001"/>
    <n v="44193.39"/>
    <n v="18821.009999999998"/>
    <n v="1"/>
    <x v="4"/>
    <n v="2025"/>
  </r>
  <r>
    <s v="O-1310"/>
    <s v="07-Jun-2025"/>
    <s v="Suman Rao"/>
    <x v="0"/>
    <s v="Refrigerator"/>
    <x v="4"/>
    <x v="4"/>
    <x v="3"/>
    <n v="3"/>
    <n v="55706"/>
    <n v="0.14000000000000001"/>
    <n v="143721.48000000001"/>
    <n v="107588.11"/>
    <n v="36133.370000000003"/>
    <n v="6"/>
    <x v="1"/>
    <n v="2025"/>
  </r>
  <r>
    <s v="O-1311"/>
    <s v="28-Sep-2025"/>
    <s v="Suman Rao"/>
    <x v="1"/>
    <s v="Chair"/>
    <x v="46"/>
    <x v="4"/>
    <x v="3"/>
    <n v="1"/>
    <n v="22248"/>
    <n v="0.15"/>
    <n v="18910.8"/>
    <n v="15826.65"/>
    <n v="3084.15"/>
    <n v="9"/>
    <x v="3"/>
    <n v="2025"/>
  </r>
  <r>
    <s v="O-1312"/>
    <s v="19-Feb-2025"/>
    <s v="Ravi Patel"/>
    <x v="0"/>
    <s v="Washing Machine"/>
    <x v="48"/>
    <x v="5"/>
    <x v="0"/>
    <n v="3"/>
    <n v="33226"/>
    <n v="0.15"/>
    <n v="84726.3"/>
    <n v="69965.649999999994"/>
    <n v="14760.65"/>
    <n v="2"/>
    <x v="2"/>
    <n v="2025"/>
  </r>
  <r>
    <s v="O-1313"/>
    <s v="21-Apr-2025"/>
    <s v="Ravi Patel"/>
    <x v="1"/>
    <s v="Sofa"/>
    <x v="52"/>
    <x v="4"/>
    <x v="0"/>
    <n v="5"/>
    <n v="27067"/>
    <n v="0.1"/>
    <n v="121801.5"/>
    <n v="100498.91"/>
    <n v="21302.59"/>
    <n v="4"/>
    <x v="0"/>
    <n v="2025"/>
  </r>
  <r>
    <s v="O-1314"/>
    <s v="04-Oct-2025"/>
    <s v="Pooja Jain"/>
    <x v="3"/>
    <s v="Headphones"/>
    <x v="49"/>
    <x v="3"/>
    <x v="1"/>
    <n v="5"/>
    <n v="59373"/>
    <n v="0.03"/>
    <n v="287959.05"/>
    <n v="233574.94"/>
    <n v="54384.11"/>
    <n v="10"/>
    <x v="9"/>
    <n v="2025"/>
  </r>
  <r>
    <s v="O-1315"/>
    <s v="09-Jan-2025"/>
    <s v="Deepak Chauhan"/>
    <x v="3"/>
    <s v="Headphones"/>
    <x v="55"/>
    <x v="4"/>
    <x v="3"/>
    <n v="5"/>
    <n v="27827"/>
    <n v="0.06"/>
    <n v="130786.9"/>
    <n v="116850.09"/>
    <n v="13936.81"/>
    <n v="1"/>
    <x v="4"/>
    <n v="2025"/>
  </r>
  <r>
    <s v="O-1316"/>
    <s v="25-Jan-2025"/>
    <s v="Ravi Patel"/>
    <x v="2"/>
    <s v="Jacket"/>
    <x v="36"/>
    <x v="2"/>
    <x v="1"/>
    <n v="3"/>
    <n v="52102"/>
    <n v="0.13"/>
    <n v="135986.22"/>
    <n v="100835.79"/>
    <n v="35150.43"/>
    <n v="1"/>
    <x v="4"/>
    <n v="2025"/>
  </r>
  <r>
    <s v="O-1317"/>
    <s v="08-Aug-2025"/>
    <s v="Kiran Singh"/>
    <x v="3"/>
    <s v="Tablet"/>
    <x v="24"/>
    <x v="0"/>
    <x v="0"/>
    <n v="2"/>
    <n v="2632"/>
    <n v="7.0000000000000007E-2"/>
    <n v="4895.5200000000004"/>
    <n v="3500.46"/>
    <n v="1395.06"/>
    <n v="8"/>
    <x v="6"/>
    <n v="2025"/>
  </r>
  <r>
    <s v="O-1318"/>
    <s v="03-May-2025"/>
    <s v="Kiran Singh"/>
    <x v="3"/>
    <s v="Tablet"/>
    <x v="7"/>
    <x v="1"/>
    <x v="2"/>
    <n v="2"/>
    <n v="46066"/>
    <n v="0.11"/>
    <n v="81997.48"/>
    <n v="72985.05"/>
    <n v="9012.43"/>
    <n v="5"/>
    <x v="5"/>
    <n v="2025"/>
  </r>
  <r>
    <s v="O-1319"/>
    <s v="03-Sep-2025"/>
    <s v="Nikhil Joshi"/>
    <x v="1"/>
    <s v="Chair"/>
    <x v="51"/>
    <x v="5"/>
    <x v="3"/>
    <n v="1"/>
    <n v="26431"/>
    <n v="0.03"/>
    <n v="25638.07"/>
    <n v="21391.49"/>
    <n v="4246.58"/>
    <n v="9"/>
    <x v="3"/>
    <n v="2025"/>
  </r>
  <r>
    <s v="O-1320"/>
    <s v="13-Sep-2025"/>
    <s v="Nikhil Joshi"/>
    <x v="2"/>
    <s v="Dress"/>
    <x v="45"/>
    <x v="6"/>
    <x v="0"/>
    <n v="5"/>
    <n v="45036"/>
    <n v="0.09"/>
    <n v="204913.8"/>
    <n v="177341.12"/>
    <n v="27572.68"/>
    <n v="9"/>
    <x v="3"/>
    <n v="2025"/>
  </r>
  <r>
    <s v="O-1321"/>
    <s v="09-Sep-2025"/>
    <s v="Kiran Singh"/>
    <x v="1"/>
    <s v="Chair"/>
    <x v="51"/>
    <x v="5"/>
    <x v="3"/>
    <n v="5"/>
    <n v="1871"/>
    <n v="0.03"/>
    <n v="9074.35"/>
    <n v="7027.59"/>
    <n v="2046.76"/>
    <n v="9"/>
    <x v="3"/>
    <n v="2025"/>
  </r>
  <r>
    <s v="O-1322"/>
    <s v="12-Jul-2025"/>
    <s v="Aman Tiwari"/>
    <x v="1"/>
    <s v="Table"/>
    <x v="62"/>
    <x v="5"/>
    <x v="2"/>
    <n v="3"/>
    <n v="30757"/>
    <n v="0.1"/>
    <n v="83043.899999999994"/>
    <n v="74172.320000000007"/>
    <n v="8871.58"/>
    <n v="7"/>
    <x v="8"/>
    <n v="2025"/>
  </r>
  <r>
    <s v="O-1323"/>
    <s v="05-Sep-2025"/>
    <s v="Raj Sharma"/>
    <x v="1"/>
    <s v="Bookshelf"/>
    <x v="3"/>
    <x v="7"/>
    <x v="0"/>
    <n v="3"/>
    <n v="52308"/>
    <n v="0.08"/>
    <n v="144370.07999999999"/>
    <n v="119031.19"/>
    <n v="25338.89"/>
    <n v="9"/>
    <x v="3"/>
    <n v="2025"/>
  </r>
  <r>
    <s v="O-1324"/>
    <s v="04-Feb-2025"/>
    <s v="Tanya Kapoor"/>
    <x v="1"/>
    <s v="Table"/>
    <x v="62"/>
    <x v="0"/>
    <x v="1"/>
    <n v="5"/>
    <n v="2878"/>
    <n v="0.12"/>
    <n v="12663.2"/>
    <n v="9480.49"/>
    <n v="3182.71"/>
    <n v="2"/>
    <x v="2"/>
    <n v="2025"/>
  </r>
  <r>
    <s v="O-1325"/>
    <s v="09-Mar-2025"/>
    <s v="Suman Rao"/>
    <x v="2"/>
    <s v="Dress"/>
    <x v="60"/>
    <x v="3"/>
    <x v="1"/>
    <n v="1"/>
    <n v="51483"/>
    <n v="0.14000000000000001"/>
    <n v="44275.38"/>
    <n v="39674.879999999997"/>
    <n v="4600.5"/>
    <n v="3"/>
    <x v="7"/>
    <n v="2025"/>
  </r>
  <r>
    <s v="O-1326"/>
    <s v="08-Mar-2025"/>
    <s v="Ravi Patel"/>
    <x v="2"/>
    <s v="Jacket"/>
    <x v="41"/>
    <x v="1"/>
    <x v="3"/>
    <n v="2"/>
    <n v="58196"/>
    <n v="0.06"/>
    <n v="109408.48"/>
    <n v="79215.87"/>
    <n v="30192.61"/>
    <n v="3"/>
    <x v="7"/>
    <n v="2025"/>
  </r>
  <r>
    <s v="O-1327"/>
    <s v="23-Sep-2025"/>
    <s v="Nikhil Joshi"/>
    <x v="0"/>
    <s v="Microwave"/>
    <x v="39"/>
    <x v="1"/>
    <x v="1"/>
    <n v="2"/>
    <n v="43025"/>
    <n v="0.05"/>
    <n v="81747.5"/>
    <n v="69824.759999999995"/>
    <n v="11922.74"/>
    <n v="9"/>
    <x v="3"/>
    <n v="2025"/>
  </r>
  <r>
    <s v="O-1328"/>
    <s v="17-Jul-2025"/>
    <s v="Nikhil Joshi"/>
    <x v="3"/>
    <s v="Laptop"/>
    <x v="58"/>
    <x v="5"/>
    <x v="1"/>
    <n v="5"/>
    <n v="5643"/>
    <n v="7.0000000000000007E-2"/>
    <n v="26239.95"/>
    <n v="18552.060000000001"/>
    <n v="7687.89"/>
    <n v="7"/>
    <x v="8"/>
    <n v="2025"/>
  </r>
  <r>
    <s v="O-1329"/>
    <s v="17-Apr-2025"/>
    <s v="Suman Rao"/>
    <x v="1"/>
    <s v="Chair"/>
    <x v="46"/>
    <x v="0"/>
    <x v="1"/>
    <n v="1"/>
    <n v="25968"/>
    <n v="0.05"/>
    <n v="24669.599999999999"/>
    <n v="21288.17"/>
    <n v="3381.43"/>
    <n v="4"/>
    <x v="0"/>
    <n v="2025"/>
  </r>
  <r>
    <s v="O-1330"/>
    <s v="04-Aug-2025"/>
    <s v="Nikhil Joshi"/>
    <x v="0"/>
    <s v="Mixer"/>
    <x v="9"/>
    <x v="6"/>
    <x v="0"/>
    <n v="4"/>
    <n v="7582"/>
    <n v="0.05"/>
    <n v="28811.599999999999"/>
    <n v="20374.3"/>
    <n v="8437.2999999999993"/>
    <n v="8"/>
    <x v="6"/>
    <n v="2025"/>
  </r>
  <r>
    <s v="O-1331"/>
    <s v="26-Oct-2025"/>
    <s v="Pooja Jain"/>
    <x v="1"/>
    <s v="Table"/>
    <x v="1"/>
    <x v="7"/>
    <x v="1"/>
    <n v="4"/>
    <n v="44177"/>
    <n v="0.13"/>
    <n v="153735.96"/>
    <n v="112326.78"/>
    <n v="41409.18"/>
    <n v="10"/>
    <x v="9"/>
    <n v="2025"/>
  </r>
  <r>
    <s v="O-1332"/>
    <s v="12-Mar-2025"/>
    <s v="Ravi Patel"/>
    <x v="1"/>
    <s v="Bookshelf"/>
    <x v="42"/>
    <x v="2"/>
    <x v="1"/>
    <n v="2"/>
    <n v="2525"/>
    <n v="0.08"/>
    <n v="4646"/>
    <n v="4014.05"/>
    <n v="631.95000000000005"/>
    <n v="3"/>
    <x v="7"/>
    <n v="2025"/>
  </r>
  <r>
    <s v="O-1333"/>
    <s v="21-Jun-2025"/>
    <s v="Ravi Patel"/>
    <x v="0"/>
    <s v="Refrigerator"/>
    <x v="63"/>
    <x v="0"/>
    <x v="2"/>
    <n v="3"/>
    <n v="23769"/>
    <n v="0.05"/>
    <n v="67741.649999999994"/>
    <n v="50536.72"/>
    <n v="17204.93"/>
    <n v="6"/>
    <x v="1"/>
    <n v="2025"/>
  </r>
  <r>
    <s v="O-1334"/>
    <s v="23-Aug-2025"/>
    <s v="Deepak Chauhan"/>
    <x v="1"/>
    <s v="Sofa"/>
    <x v="11"/>
    <x v="4"/>
    <x v="1"/>
    <n v="5"/>
    <n v="8066"/>
    <n v="0.02"/>
    <n v="39523.4"/>
    <n v="29871.82"/>
    <n v="9651.58"/>
    <n v="8"/>
    <x v="6"/>
    <n v="2025"/>
  </r>
  <r>
    <s v="O-1335"/>
    <s v="24-Jul-2025"/>
    <s v="Pooja Jain"/>
    <x v="2"/>
    <s v="Shirt"/>
    <x v="23"/>
    <x v="5"/>
    <x v="1"/>
    <n v="5"/>
    <n v="51031"/>
    <n v="0.02"/>
    <n v="250051.9"/>
    <n v="200386.56"/>
    <n v="49665.34"/>
    <n v="7"/>
    <x v="8"/>
    <n v="2025"/>
  </r>
  <r>
    <s v="O-1336"/>
    <s v="01-Oct-2025"/>
    <s v="Suman Rao"/>
    <x v="3"/>
    <s v="Laptop"/>
    <x v="40"/>
    <x v="2"/>
    <x v="3"/>
    <n v="2"/>
    <n v="34870"/>
    <n v="0.08"/>
    <n v="64160.800000000003"/>
    <n v="50882.23"/>
    <n v="13278.57"/>
    <n v="10"/>
    <x v="9"/>
    <n v="2025"/>
  </r>
  <r>
    <s v="O-1337"/>
    <s v="18-Jun-2025"/>
    <s v="Tanya Kapoor"/>
    <x v="1"/>
    <s v="Chair"/>
    <x v="46"/>
    <x v="5"/>
    <x v="3"/>
    <n v="1"/>
    <n v="26368"/>
    <n v="0.11"/>
    <n v="23467.52"/>
    <n v="16827.47"/>
    <n v="6640.05"/>
    <n v="6"/>
    <x v="1"/>
    <n v="2025"/>
  </r>
  <r>
    <s v="O-1338"/>
    <s v="18-Aug-2025"/>
    <s v="Pooja Jain"/>
    <x v="3"/>
    <s v="Headphones"/>
    <x v="59"/>
    <x v="1"/>
    <x v="0"/>
    <n v="3"/>
    <n v="53606"/>
    <n v="0.14000000000000001"/>
    <n v="138303.48000000001"/>
    <n v="98513.31"/>
    <n v="39790.17"/>
    <n v="8"/>
    <x v="6"/>
    <n v="2025"/>
  </r>
  <r>
    <s v="O-1339"/>
    <s v="08-Mar-2025"/>
    <s v="Ravi Patel"/>
    <x v="0"/>
    <s v="Mixer"/>
    <x v="53"/>
    <x v="7"/>
    <x v="2"/>
    <n v="3"/>
    <n v="37916"/>
    <n v="0.03"/>
    <n v="110335.56"/>
    <n v="87032.49"/>
    <n v="23303.07"/>
    <n v="3"/>
    <x v="7"/>
    <n v="2025"/>
  </r>
  <r>
    <s v="O-1340"/>
    <s v="10-Apr-2025"/>
    <s v="Deepak Chauhan"/>
    <x v="2"/>
    <s v="Dress"/>
    <x v="60"/>
    <x v="1"/>
    <x v="3"/>
    <n v="4"/>
    <n v="43147"/>
    <n v="0.05"/>
    <n v="163958.6"/>
    <n v="132648.22"/>
    <n v="31310.38"/>
    <n v="4"/>
    <x v="0"/>
    <n v="2025"/>
  </r>
  <r>
    <s v="O-1341"/>
    <s v="24-Jul-2025"/>
    <s v="Kiran Singh"/>
    <x v="2"/>
    <s v="Jeans"/>
    <x v="5"/>
    <x v="2"/>
    <x v="2"/>
    <n v="1"/>
    <n v="58314"/>
    <n v="0.05"/>
    <n v="55398.3"/>
    <n v="42749.09"/>
    <n v="12649.21"/>
    <n v="7"/>
    <x v="8"/>
    <n v="2025"/>
  </r>
  <r>
    <s v="O-1342"/>
    <s v="19-Jun-2025"/>
    <s v="Ravi Patel"/>
    <x v="2"/>
    <s v="Jeans"/>
    <x v="20"/>
    <x v="4"/>
    <x v="3"/>
    <n v="1"/>
    <n v="45630"/>
    <n v="0.02"/>
    <n v="44717.4"/>
    <n v="33543.97"/>
    <n v="11173.43"/>
    <n v="6"/>
    <x v="1"/>
    <n v="2025"/>
  </r>
  <r>
    <s v="O-1343"/>
    <s v="22-Mar-2025"/>
    <s v="Pooja Jain"/>
    <x v="1"/>
    <s v="Table"/>
    <x v="34"/>
    <x v="4"/>
    <x v="1"/>
    <n v="1"/>
    <n v="48153"/>
    <n v="0.14000000000000001"/>
    <n v="41411.58"/>
    <n v="36285.46"/>
    <n v="5126.12"/>
    <n v="3"/>
    <x v="7"/>
    <n v="2025"/>
  </r>
  <r>
    <s v="O-1344"/>
    <s v="04-Aug-2025"/>
    <s v="Aman Tiwari"/>
    <x v="1"/>
    <s v="Chair"/>
    <x v="51"/>
    <x v="0"/>
    <x v="1"/>
    <n v="2"/>
    <n v="43741"/>
    <n v="7.0000000000000007E-2"/>
    <n v="81358.259999999995"/>
    <n v="58519.69"/>
    <n v="22838.57"/>
    <n v="8"/>
    <x v="6"/>
    <n v="2025"/>
  </r>
  <r>
    <s v="O-1345"/>
    <s v="19-Sep-2025"/>
    <s v="Nikhil Joshi"/>
    <x v="3"/>
    <s v="Laptop"/>
    <x v="40"/>
    <x v="5"/>
    <x v="3"/>
    <n v="4"/>
    <n v="41325"/>
    <n v="0.06"/>
    <n v="155382"/>
    <n v="122569.98"/>
    <n v="32812.019999999997"/>
    <n v="9"/>
    <x v="3"/>
    <n v="2025"/>
  </r>
  <r>
    <s v="O-1346"/>
    <s v="03-Jun-2025"/>
    <s v="Ravi Patel"/>
    <x v="1"/>
    <s v="Bookshelf"/>
    <x v="3"/>
    <x v="1"/>
    <x v="3"/>
    <n v="3"/>
    <n v="24195"/>
    <n v="0.05"/>
    <n v="68955.75"/>
    <n v="60295.32"/>
    <n v="8660.43"/>
    <n v="6"/>
    <x v="1"/>
    <n v="2025"/>
  </r>
  <r>
    <s v="O-1347"/>
    <s v="18-Jan-2025"/>
    <s v="Kiran Singh"/>
    <x v="2"/>
    <s v="Shirt"/>
    <x v="37"/>
    <x v="7"/>
    <x v="2"/>
    <n v="4"/>
    <n v="50581"/>
    <n v="7.0000000000000007E-2"/>
    <n v="188161.32"/>
    <n v="149538.78"/>
    <n v="38622.54"/>
    <n v="1"/>
    <x v="4"/>
    <n v="2025"/>
  </r>
  <r>
    <s v="O-1348"/>
    <s v="10-Jun-2025"/>
    <s v="Meena Verma"/>
    <x v="1"/>
    <s v="Chair"/>
    <x v="51"/>
    <x v="7"/>
    <x v="3"/>
    <n v="5"/>
    <n v="10438"/>
    <n v="0.04"/>
    <n v="50102.400000000001"/>
    <n v="41374.74"/>
    <n v="8727.66"/>
    <n v="6"/>
    <x v="1"/>
    <n v="2025"/>
  </r>
  <r>
    <s v="O-1349"/>
    <s v="30-Sep-2025"/>
    <s v="Suman Rao"/>
    <x v="1"/>
    <s v="Sofa"/>
    <x v="54"/>
    <x v="3"/>
    <x v="3"/>
    <n v="5"/>
    <n v="53431"/>
    <n v="0.06"/>
    <n v="251125.7"/>
    <n v="197997.13"/>
    <n v="53128.57"/>
    <n v="9"/>
    <x v="3"/>
    <n v="2025"/>
  </r>
  <r>
    <s v="O-1350"/>
    <s v="14-Oct-2025"/>
    <s v="Tanya Kapoor"/>
    <x v="0"/>
    <s v="Mixer"/>
    <x v="61"/>
    <x v="6"/>
    <x v="2"/>
    <n v="5"/>
    <n v="2635"/>
    <n v="0.14000000000000001"/>
    <n v="11330.5"/>
    <n v="8921.15"/>
    <n v="2409.35"/>
    <n v="10"/>
    <x v="9"/>
    <n v="2025"/>
  </r>
  <r>
    <s v="O-1351"/>
    <s v="13-Aug-2025"/>
    <s v="Deepak Chauhan"/>
    <x v="2"/>
    <s v="Jeans"/>
    <x v="10"/>
    <x v="1"/>
    <x v="1"/>
    <n v="5"/>
    <n v="24367"/>
    <n v="0.11"/>
    <n v="108433.15"/>
    <n v="92408.92"/>
    <n v="16024.23"/>
    <n v="8"/>
    <x v="6"/>
    <n v="2025"/>
  </r>
  <r>
    <s v="O-1352"/>
    <s v="16-May-2025"/>
    <s v="Ravi Patel"/>
    <x v="2"/>
    <s v="Dress"/>
    <x v="45"/>
    <x v="1"/>
    <x v="3"/>
    <n v="1"/>
    <n v="51839"/>
    <n v="0.04"/>
    <n v="49765.440000000002"/>
    <n v="37276.769999999997"/>
    <n v="12488.67"/>
    <n v="5"/>
    <x v="5"/>
    <n v="2025"/>
  </r>
  <r>
    <s v="O-1353"/>
    <s v="07-Apr-2025"/>
    <s v="Raj Sharma"/>
    <x v="3"/>
    <s v="Laptop"/>
    <x v="40"/>
    <x v="4"/>
    <x v="2"/>
    <n v="2"/>
    <n v="40077"/>
    <n v="0.12"/>
    <n v="70535.520000000004"/>
    <n v="61434.83"/>
    <n v="9100.69"/>
    <n v="4"/>
    <x v="0"/>
    <n v="2025"/>
  </r>
  <r>
    <s v="O-1354"/>
    <s v="30-Sep-2025"/>
    <s v="Suman Rao"/>
    <x v="1"/>
    <s v="Sofa"/>
    <x v="11"/>
    <x v="0"/>
    <x v="2"/>
    <n v="4"/>
    <n v="25511"/>
    <n v="0.12"/>
    <n v="89798.720000000001"/>
    <n v="66343.070000000007"/>
    <n v="23455.65"/>
    <n v="9"/>
    <x v="3"/>
    <n v="2025"/>
  </r>
  <r>
    <s v="O-1355"/>
    <s v="08-Jan-2025"/>
    <s v="Pooja Jain"/>
    <x v="2"/>
    <s v="Shirt"/>
    <x v="25"/>
    <x v="6"/>
    <x v="2"/>
    <n v="1"/>
    <n v="9797"/>
    <n v="0.06"/>
    <n v="9209.18"/>
    <n v="8271.76"/>
    <n v="937.42"/>
    <n v="1"/>
    <x v="4"/>
    <n v="2025"/>
  </r>
  <r>
    <s v="O-1356"/>
    <s v="19-Jul-2025"/>
    <s v="Tanya Kapoor"/>
    <x v="0"/>
    <s v="Washing Machine"/>
    <x v="0"/>
    <x v="2"/>
    <x v="1"/>
    <n v="2"/>
    <n v="12528"/>
    <n v="7.0000000000000007E-2"/>
    <n v="23302.080000000002"/>
    <n v="20882.349999999999"/>
    <n v="2419.73"/>
    <n v="7"/>
    <x v="8"/>
    <n v="2025"/>
  </r>
  <r>
    <s v="O-1357"/>
    <s v="31-May-2025"/>
    <s v="Deepak Chauhan"/>
    <x v="2"/>
    <s v="Jacket"/>
    <x v="36"/>
    <x v="6"/>
    <x v="0"/>
    <n v="4"/>
    <n v="53988"/>
    <n v="0.04"/>
    <n v="207313.92000000001"/>
    <n v="148900.76999999999"/>
    <n v="58413.15"/>
    <n v="5"/>
    <x v="5"/>
    <n v="2025"/>
  </r>
  <r>
    <s v="O-1358"/>
    <s v="11-Jul-2025"/>
    <s v="Suman Rao"/>
    <x v="0"/>
    <s v="Washing Machine"/>
    <x v="12"/>
    <x v="0"/>
    <x v="1"/>
    <n v="3"/>
    <n v="19474"/>
    <n v="0.04"/>
    <n v="56085.120000000003"/>
    <n v="43359.73"/>
    <n v="12725.39"/>
    <n v="7"/>
    <x v="8"/>
    <n v="2025"/>
  </r>
  <r>
    <s v="O-1359"/>
    <s v="05-Apr-2025"/>
    <s v="Aman Tiwari"/>
    <x v="3"/>
    <s v="Laptop"/>
    <x v="58"/>
    <x v="3"/>
    <x v="3"/>
    <n v="5"/>
    <n v="49547"/>
    <n v="0.08"/>
    <n v="227916.2"/>
    <n v="190873.52"/>
    <n v="37042.68"/>
    <n v="4"/>
    <x v="0"/>
    <n v="2025"/>
  </r>
  <r>
    <s v="O-1360"/>
    <s v="02-Feb-2025"/>
    <s v="Ravi Patel"/>
    <x v="3"/>
    <s v="Laptop"/>
    <x v="40"/>
    <x v="0"/>
    <x v="1"/>
    <n v="3"/>
    <n v="45222"/>
    <n v="0.13"/>
    <n v="118029.42"/>
    <n v="94595.46"/>
    <n v="23433.96"/>
    <n v="2"/>
    <x v="2"/>
    <n v="2025"/>
  </r>
  <r>
    <s v="O-1361"/>
    <s v="16-Apr-2025"/>
    <s v="Deepak Chauhan"/>
    <x v="3"/>
    <s v="Tablet"/>
    <x v="7"/>
    <x v="2"/>
    <x v="1"/>
    <n v="1"/>
    <n v="29533"/>
    <n v="0.05"/>
    <n v="28056.35"/>
    <n v="22338.34"/>
    <n v="5718.01"/>
    <n v="4"/>
    <x v="0"/>
    <n v="2025"/>
  </r>
  <r>
    <s v="O-1362"/>
    <s v="08-Jun-2025"/>
    <s v="Raj Sharma"/>
    <x v="3"/>
    <s v="Mobile"/>
    <x v="6"/>
    <x v="0"/>
    <x v="0"/>
    <n v="1"/>
    <n v="13582"/>
    <n v="0.02"/>
    <n v="13310.36"/>
    <n v="11530.03"/>
    <n v="1780.33"/>
    <n v="6"/>
    <x v="1"/>
    <n v="2025"/>
  </r>
  <r>
    <s v="O-1363"/>
    <s v="09-May-2025"/>
    <s v="Ravi Patel"/>
    <x v="2"/>
    <s v="Dress"/>
    <x v="57"/>
    <x v="2"/>
    <x v="2"/>
    <n v="1"/>
    <n v="5372"/>
    <n v="7.0000000000000007E-2"/>
    <n v="4995.96"/>
    <n v="3642.62"/>
    <n v="1353.34"/>
    <n v="5"/>
    <x v="5"/>
    <n v="2025"/>
  </r>
  <r>
    <s v="O-1364"/>
    <s v="27-May-2025"/>
    <s v="Nikhil Joshi"/>
    <x v="0"/>
    <s v="Washing Machine"/>
    <x v="47"/>
    <x v="4"/>
    <x v="0"/>
    <n v="5"/>
    <n v="24085"/>
    <n v="0.04"/>
    <n v="115608"/>
    <n v="82485.3"/>
    <n v="33122.699999999997"/>
    <n v="5"/>
    <x v="5"/>
    <n v="2025"/>
  </r>
  <r>
    <s v="O-1365"/>
    <s v="24-Jul-2025"/>
    <s v="Kiran Singh"/>
    <x v="1"/>
    <s v="Table"/>
    <x v="34"/>
    <x v="1"/>
    <x v="2"/>
    <n v="4"/>
    <n v="8109"/>
    <n v="0.12"/>
    <n v="28543.68"/>
    <n v="21181.81"/>
    <n v="7361.87"/>
    <n v="7"/>
    <x v="8"/>
    <n v="2025"/>
  </r>
  <r>
    <s v="O-1366"/>
    <s v="14-Jul-2025"/>
    <s v="Ravi Patel"/>
    <x v="3"/>
    <s v="Laptop"/>
    <x v="18"/>
    <x v="2"/>
    <x v="0"/>
    <n v="5"/>
    <n v="54206"/>
    <n v="0.08"/>
    <n v="249347.6"/>
    <n v="184406.18"/>
    <n v="64941.42"/>
    <n v="7"/>
    <x v="8"/>
    <n v="2025"/>
  </r>
  <r>
    <s v="O-1367"/>
    <s v="25-Mar-2025"/>
    <s v="Kiran Singh"/>
    <x v="0"/>
    <s v="Microwave"/>
    <x v="19"/>
    <x v="0"/>
    <x v="0"/>
    <n v="3"/>
    <n v="48362"/>
    <n v="0.14000000000000001"/>
    <n v="124773.96"/>
    <n v="94664.89"/>
    <n v="30109.07"/>
    <n v="3"/>
    <x v="7"/>
    <n v="2025"/>
  </r>
  <r>
    <s v="O-1368"/>
    <s v="24-Feb-2025"/>
    <s v="Pooja Jain"/>
    <x v="3"/>
    <s v="Mobile"/>
    <x v="56"/>
    <x v="4"/>
    <x v="3"/>
    <n v="4"/>
    <n v="30555"/>
    <n v="0.03"/>
    <n v="118553.4"/>
    <n v="92519.32"/>
    <n v="26034.080000000002"/>
    <n v="2"/>
    <x v="2"/>
    <n v="2025"/>
  </r>
  <r>
    <s v="O-1369"/>
    <s v="02-Jan-2025"/>
    <s v="Tanya Kapoor"/>
    <x v="2"/>
    <s v="Dress"/>
    <x v="45"/>
    <x v="5"/>
    <x v="1"/>
    <n v="2"/>
    <n v="41907"/>
    <n v="0.09"/>
    <n v="76270.740000000005"/>
    <n v="55988.29"/>
    <n v="20282.45"/>
    <n v="1"/>
    <x v="4"/>
    <n v="2025"/>
  </r>
  <r>
    <s v="O-1370"/>
    <s v="01-Mar-2025"/>
    <s v="Ravi Patel"/>
    <x v="2"/>
    <s v="Jeans"/>
    <x v="5"/>
    <x v="4"/>
    <x v="2"/>
    <n v="4"/>
    <n v="36739"/>
    <n v="7.0000000000000007E-2"/>
    <n v="136669.07999999999"/>
    <n v="105773.96"/>
    <n v="30895.119999999999"/>
    <n v="3"/>
    <x v="7"/>
    <n v="2025"/>
  </r>
  <r>
    <s v="O-1371"/>
    <s v="30-May-2025"/>
    <s v="Suman Rao"/>
    <x v="1"/>
    <s v="Table"/>
    <x v="16"/>
    <x v="5"/>
    <x v="3"/>
    <n v="1"/>
    <n v="4379"/>
    <n v="0.09"/>
    <n v="3984.89"/>
    <n v="3178.78"/>
    <n v="806.11"/>
    <n v="5"/>
    <x v="5"/>
    <n v="2025"/>
  </r>
  <r>
    <s v="O-1372"/>
    <s v="22-Jul-2025"/>
    <s v="Pooja Jain"/>
    <x v="3"/>
    <s v="Headphones"/>
    <x v="49"/>
    <x v="7"/>
    <x v="0"/>
    <n v="5"/>
    <n v="9949"/>
    <n v="0.03"/>
    <n v="48252.65"/>
    <n v="41892.76"/>
    <n v="6359.89"/>
    <n v="7"/>
    <x v="8"/>
    <n v="2025"/>
  </r>
  <r>
    <s v="O-1373"/>
    <s v="16-Mar-2025"/>
    <s v="Meena Verma"/>
    <x v="0"/>
    <s v="Refrigerator"/>
    <x v="63"/>
    <x v="7"/>
    <x v="3"/>
    <n v="4"/>
    <n v="12540"/>
    <n v="7.0000000000000007E-2"/>
    <n v="46648.800000000003"/>
    <n v="35042.92"/>
    <n v="11605.88"/>
    <n v="3"/>
    <x v="7"/>
    <n v="2025"/>
  </r>
  <r>
    <s v="O-1374"/>
    <s v="14-Jun-2025"/>
    <s v="Meena Verma"/>
    <x v="2"/>
    <s v="Dress"/>
    <x v="57"/>
    <x v="0"/>
    <x v="2"/>
    <n v="2"/>
    <n v="15340"/>
    <n v="0.15"/>
    <n v="26078"/>
    <n v="22075.200000000001"/>
    <n v="4002.8"/>
    <n v="6"/>
    <x v="1"/>
    <n v="2025"/>
  </r>
  <r>
    <s v="O-1375"/>
    <s v="01-Sep-2025"/>
    <s v="Raj Sharma"/>
    <x v="2"/>
    <s v="Dress"/>
    <x v="57"/>
    <x v="2"/>
    <x v="0"/>
    <n v="3"/>
    <n v="30517"/>
    <n v="0.09"/>
    <n v="83311.41"/>
    <n v="61059.23"/>
    <n v="22252.18"/>
    <n v="9"/>
    <x v="3"/>
    <n v="2025"/>
  </r>
  <r>
    <s v="O-1376"/>
    <s v="13-Jun-2025"/>
    <s v="Nikhil Joshi"/>
    <x v="2"/>
    <s v="Dress"/>
    <x v="57"/>
    <x v="5"/>
    <x v="3"/>
    <n v="1"/>
    <n v="59168"/>
    <n v="0.11"/>
    <n v="52659.519999999997"/>
    <n v="44907.47"/>
    <n v="7752.05"/>
    <n v="6"/>
    <x v="1"/>
    <n v="2025"/>
  </r>
  <r>
    <s v="O-1377"/>
    <s v="11-Jun-2025"/>
    <s v="Meena Verma"/>
    <x v="0"/>
    <s v="Mixer"/>
    <x v="53"/>
    <x v="5"/>
    <x v="3"/>
    <n v="2"/>
    <n v="57421"/>
    <n v="0.03"/>
    <n v="111396.74"/>
    <n v="96588.89"/>
    <n v="14807.85"/>
    <n v="6"/>
    <x v="1"/>
    <n v="2025"/>
  </r>
  <r>
    <s v="O-1378"/>
    <s v="24-Sep-2025"/>
    <s v="Suman Rao"/>
    <x v="3"/>
    <s v="Mobile"/>
    <x v="28"/>
    <x v="6"/>
    <x v="0"/>
    <n v="5"/>
    <n v="3024"/>
    <n v="0.04"/>
    <n v="14515.2"/>
    <n v="10448.620000000001"/>
    <n v="4066.58"/>
    <n v="9"/>
    <x v="3"/>
    <n v="2025"/>
  </r>
  <r>
    <s v="O-1379"/>
    <s v="28-Apr-2025"/>
    <s v="Kiran Singh"/>
    <x v="3"/>
    <s v="Headphones"/>
    <x v="55"/>
    <x v="6"/>
    <x v="0"/>
    <n v="3"/>
    <n v="4269"/>
    <n v="0.11"/>
    <n v="11398.23"/>
    <n v="8814.23"/>
    <n v="2584"/>
    <n v="4"/>
    <x v="0"/>
    <n v="2025"/>
  </r>
  <r>
    <s v="O-1380"/>
    <s v="28-Jun-2025"/>
    <s v="Suman Rao"/>
    <x v="1"/>
    <s v="Chair"/>
    <x v="51"/>
    <x v="2"/>
    <x v="1"/>
    <n v="4"/>
    <n v="28224"/>
    <n v="0.12"/>
    <n v="99348.479999999996"/>
    <n v="72886.16"/>
    <n v="26462.32"/>
    <n v="6"/>
    <x v="1"/>
    <n v="2025"/>
  </r>
  <r>
    <s v="O-1381"/>
    <s v="27-Feb-2025"/>
    <s v="Aman Tiwari"/>
    <x v="1"/>
    <s v="Chair"/>
    <x v="51"/>
    <x v="6"/>
    <x v="1"/>
    <n v="3"/>
    <n v="55136"/>
    <n v="0.12"/>
    <n v="145559.04000000001"/>
    <n v="114780.62"/>
    <n v="30778.42"/>
    <n v="2"/>
    <x v="2"/>
    <n v="2025"/>
  </r>
  <r>
    <s v="O-1382"/>
    <s v="10-Sep-2025"/>
    <s v="Aman Tiwari"/>
    <x v="0"/>
    <s v="Mixer"/>
    <x v="53"/>
    <x v="5"/>
    <x v="1"/>
    <n v="4"/>
    <n v="56110"/>
    <n v="0.1"/>
    <n v="201996"/>
    <n v="143017.81"/>
    <n v="58978.19"/>
    <n v="9"/>
    <x v="3"/>
    <n v="2025"/>
  </r>
  <r>
    <s v="O-1383"/>
    <s v="15-Mar-2025"/>
    <s v="Ravi Patel"/>
    <x v="2"/>
    <s v="Dress"/>
    <x v="45"/>
    <x v="6"/>
    <x v="2"/>
    <n v="3"/>
    <n v="44628"/>
    <n v="0.14000000000000001"/>
    <n v="115140.24"/>
    <n v="102832.34"/>
    <n v="12307.9"/>
    <n v="3"/>
    <x v="7"/>
    <n v="2025"/>
  </r>
  <r>
    <s v="O-1384"/>
    <s v="13-Feb-2025"/>
    <s v="Suman Rao"/>
    <x v="0"/>
    <s v="Refrigerator"/>
    <x v="4"/>
    <x v="0"/>
    <x v="3"/>
    <n v="4"/>
    <n v="40058"/>
    <n v="0.11"/>
    <n v="142606.48000000001"/>
    <n v="120666.79"/>
    <n v="21939.69"/>
    <n v="2"/>
    <x v="2"/>
    <n v="2025"/>
  </r>
  <r>
    <s v="O-1385"/>
    <s v="04-Jan-2025"/>
    <s v="Deepak Chauhan"/>
    <x v="1"/>
    <s v="Sofa"/>
    <x v="54"/>
    <x v="1"/>
    <x v="3"/>
    <n v="2"/>
    <n v="55720"/>
    <n v="0.05"/>
    <n v="105868"/>
    <n v="90074.92"/>
    <n v="15793.08"/>
    <n v="1"/>
    <x v="4"/>
    <n v="2025"/>
  </r>
  <r>
    <s v="O-1386"/>
    <s v="30-Mar-2025"/>
    <s v="Pooja Jain"/>
    <x v="3"/>
    <s v="Laptop"/>
    <x v="58"/>
    <x v="0"/>
    <x v="3"/>
    <n v="4"/>
    <n v="3975"/>
    <n v="0.1"/>
    <n v="14310"/>
    <n v="10332.66"/>
    <n v="3977.34"/>
    <n v="3"/>
    <x v="7"/>
    <n v="2025"/>
  </r>
  <r>
    <s v="O-1387"/>
    <s v="29-Apr-2025"/>
    <s v="Suman Rao"/>
    <x v="3"/>
    <s v="Tablet"/>
    <x v="44"/>
    <x v="5"/>
    <x v="2"/>
    <n v="4"/>
    <n v="17979"/>
    <n v="0.05"/>
    <n v="68320.2"/>
    <n v="54858.39"/>
    <n v="13461.81"/>
    <n v="4"/>
    <x v="0"/>
    <n v="2025"/>
  </r>
  <r>
    <s v="O-1388"/>
    <s v="23-Sep-2025"/>
    <s v="Raj Sharma"/>
    <x v="3"/>
    <s v="Laptop"/>
    <x v="40"/>
    <x v="2"/>
    <x v="1"/>
    <n v="3"/>
    <n v="31099"/>
    <n v="0.05"/>
    <n v="88632.15"/>
    <n v="65241.82"/>
    <n v="23390.33"/>
    <n v="9"/>
    <x v="3"/>
    <n v="2025"/>
  </r>
  <r>
    <s v="O-1389"/>
    <s v="22-Jan-2025"/>
    <s v="Tanya Kapoor"/>
    <x v="1"/>
    <s v="Sofa"/>
    <x v="54"/>
    <x v="4"/>
    <x v="2"/>
    <n v="4"/>
    <n v="27843"/>
    <n v="0.1"/>
    <n v="100234.8"/>
    <n v="84874.1"/>
    <n v="15360.7"/>
    <n v="1"/>
    <x v="4"/>
    <n v="2025"/>
  </r>
  <r>
    <s v="O-1390"/>
    <s v="25-Jun-2025"/>
    <s v="Pooja Jain"/>
    <x v="0"/>
    <s v="Microwave"/>
    <x v="15"/>
    <x v="0"/>
    <x v="2"/>
    <n v="4"/>
    <n v="11516"/>
    <n v="0.12"/>
    <n v="40536.32"/>
    <n v="30842.59"/>
    <n v="9693.73"/>
    <n v="6"/>
    <x v="1"/>
    <n v="2025"/>
  </r>
  <r>
    <s v="O-1391"/>
    <s v="02-Sep-2025"/>
    <s v="Tanya Kapoor"/>
    <x v="3"/>
    <s v="Headphones"/>
    <x v="17"/>
    <x v="6"/>
    <x v="0"/>
    <n v="1"/>
    <n v="3461"/>
    <n v="0.05"/>
    <n v="3287.95"/>
    <n v="2425.2800000000002"/>
    <n v="862.67"/>
    <n v="9"/>
    <x v="3"/>
    <n v="2025"/>
  </r>
  <r>
    <s v="O-1392"/>
    <s v="22-Mar-2025"/>
    <s v="Meena Verma"/>
    <x v="3"/>
    <s v="Laptop"/>
    <x v="33"/>
    <x v="1"/>
    <x v="1"/>
    <n v="3"/>
    <n v="10769"/>
    <n v="0.06"/>
    <n v="30368.58"/>
    <n v="21971.14"/>
    <n v="8397.44"/>
    <n v="3"/>
    <x v="7"/>
    <n v="2025"/>
  </r>
  <r>
    <s v="O-1393"/>
    <s v="17-May-2025"/>
    <s v="Tanya Kapoor"/>
    <x v="3"/>
    <s v="Laptop"/>
    <x v="40"/>
    <x v="5"/>
    <x v="1"/>
    <n v="1"/>
    <n v="16972"/>
    <n v="0.03"/>
    <n v="16462.84"/>
    <n v="12624.04"/>
    <n v="3838.8"/>
    <n v="5"/>
    <x v="5"/>
    <n v="2025"/>
  </r>
  <r>
    <s v="O-1394"/>
    <s v="12-Aug-2025"/>
    <s v="Deepak Chauhan"/>
    <x v="2"/>
    <s v="Jacket"/>
    <x v="41"/>
    <x v="2"/>
    <x v="0"/>
    <n v="4"/>
    <n v="51848"/>
    <n v="0.05"/>
    <n v="197022.4"/>
    <n v="150521.06"/>
    <n v="46501.34"/>
    <n v="8"/>
    <x v="6"/>
    <n v="2025"/>
  </r>
  <r>
    <s v="O-1395"/>
    <s v="15-Jan-2025"/>
    <s v="Aman Tiwari"/>
    <x v="3"/>
    <s v="Headphones"/>
    <x v="59"/>
    <x v="4"/>
    <x v="1"/>
    <n v="2"/>
    <n v="10985"/>
    <n v="0.13"/>
    <n v="19113.900000000001"/>
    <n v="15877.02"/>
    <n v="3236.88"/>
    <n v="1"/>
    <x v="4"/>
    <n v="2025"/>
  </r>
  <r>
    <s v="O-1396"/>
    <s v="22-Sep-2025"/>
    <s v="Deepak Chauhan"/>
    <x v="2"/>
    <s v="Dress"/>
    <x v="57"/>
    <x v="1"/>
    <x v="1"/>
    <n v="5"/>
    <n v="55158"/>
    <n v="0.15"/>
    <n v="234421.5"/>
    <n v="195482.57"/>
    <n v="38938.93"/>
    <n v="9"/>
    <x v="3"/>
    <n v="2025"/>
  </r>
  <r>
    <s v="O-1397"/>
    <s v="06-Aug-2025"/>
    <s v="Ravi Patel"/>
    <x v="0"/>
    <s v="Washing Machine"/>
    <x v="48"/>
    <x v="3"/>
    <x v="1"/>
    <n v="1"/>
    <n v="10661"/>
    <n v="0.06"/>
    <n v="10021.34"/>
    <n v="8647.33"/>
    <n v="1374.01"/>
    <n v="8"/>
    <x v="6"/>
    <n v="2025"/>
  </r>
  <r>
    <s v="O-1398"/>
    <s v="13-Aug-2025"/>
    <s v="Suman Rao"/>
    <x v="0"/>
    <s v="Microwave"/>
    <x v="19"/>
    <x v="0"/>
    <x v="3"/>
    <n v="5"/>
    <n v="4691"/>
    <n v="0.05"/>
    <n v="22282.25"/>
    <n v="16123.69"/>
    <n v="6158.56"/>
    <n v="8"/>
    <x v="6"/>
    <n v="2025"/>
  </r>
  <r>
    <s v="O-1399"/>
    <s v="28-Oct-2025"/>
    <s v="Pooja Jain"/>
    <x v="2"/>
    <s v="Dress"/>
    <x v="60"/>
    <x v="5"/>
    <x v="1"/>
    <n v="2"/>
    <n v="30233"/>
    <n v="0.11"/>
    <n v="53814.74"/>
    <n v="39027.99"/>
    <n v="14786.75"/>
    <n v="10"/>
    <x v="9"/>
    <n v="2025"/>
  </r>
  <r>
    <s v="O-1400"/>
    <s v="25-Aug-2025"/>
    <s v="Raj Sharma"/>
    <x v="0"/>
    <s v="Mixer"/>
    <x v="9"/>
    <x v="2"/>
    <x v="2"/>
    <n v="4"/>
    <n v="46575"/>
    <n v="0.02"/>
    <n v="182574"/>
    <n v="147848.97"/>
    <n v="34725.03"/>
    <n v="8"/>
    <x v="6"/>
    <n v="2025"/>
  </r>
  <r>
    <s v="O-1401"/>
    <s v="15-Mar-2025"/>
    <s v="Aman Tiwari"/>
    <x v="1"/>
    <s v="Table"/>
    <x v="16"/>
    <x v="5"/>
    <x v="2"/>
    <n v="1"/>
    <n v="43415"/>
    <n v="0.09"/>
    <n v="39507.65"/>
    <n v="30398.66"/>
    <n v="9108.99"/>
    <n v="3"/>
    <x v="7"/>
    <n v="2025"/>
  </r>
  <r>
    <s v="O-1402"/>
    <s v="06-Aug-2025"/>
    <s v="Deepak Chauhan"/>
    <x v="2"/>
    <s v="Jeans"/>
    <x v="10"/>
    <x v="6"/>
    <x v="0"/>
    <n v="5"/>
    <n v="24128"/>
    <n v="0.14000000000000001"/>
    <n v="103750.39999999999"/>
    <n v="74346.14"/>
    <n v="29404.26"/>
    <n v="8"/>
    <x v="6"/>
    <n v="2025"/>
  </r>
  <r>
    <s v="O-1403"/>
    <s v="31-Jul-2025"/>
    <s v="Deepak Chauhan"/>
    <x v="1"/>
    <s v="Chair"/>
    <x v="51"/>
    <x v="5"/>
    <x v="0"/>
    <n v="4"/>
    <n v="12444"/>
    <n v="0.05"/>
    <n v="47287.199999999997"/>
    <n v="39653.730000000003"/>
    <n v="7633.47"/>
    <n v="7"/>
    <x v="8"/>
    <n v="2025"/>
  </r>
  <r>
    <s v="O-1404"/>
    <s v="08-Mar-2025"/>
    <s v="Tanya Kapoor"/>
    <x v="1"/>
    <s v="Table"/>
    <x v="16"/>
    <x v="6"/>
    <x v="3"/>
    <n v="5"/>
    <n v="29025"/>
    <n v="0.06"/>
    <n v="136417.5"/>
    <n v="98371.26"/>
    <n v="38046.239999999998"/>
    <n v="3"/>
    <x v="7"/>
    <n v="2025"/>
  </r>
  <r>
    <s v="O-1405"/>
    <s v="18-Jan-2025"/>
    <s v="Ravi Patel"/>
    <x v="1"/>
    <s v="Chair"/>
    <x v="8"/>
    <x v="7"/>
    <x v="0"/>
    <n v="2"/>
    <n v="17778"/>
    <n v="0.11"/>
    <n v="31644.84"/>
    <n v="27661.99"/>
    <n v="3982.85"/>
    <n v="1"/>
    <x v="4"/>
    <n v="2025"/>
  </r>
  <r>
    <s v="O-1406"/>
    <s v="08-Feb-2025"/>
    <s v="Ravi Patel"/>
    <x v="2"/>
    <s v="Jeans"/>
    <x v="10"/>
    <x v="1"/>
    <x v="2"/>
    <n v="2"/>
    <n v="55906"/>
    <n v="7.0000000000000007E-2"/>
    <n v="103985.16"/>
    <n v="88920.41"/>
    <n v="15064.75"/>
    <n v="2"/>
    <x v="2"/>
    <n v="2025"/>
  </r>
  <r>
    <s v="O-1407"/>
    <s v="10-Feb-2025"/>
    <s v="Meena Verma"/>
    <x v="2"/>
    <s v="Jeans"/>
    <x v="43"/>
    <x v="7"/>
    <x v="0"/>
    <n v="3"/>
    <n v="37622"/>
    <n v="0.06"/>
    <n v="106094.04"/>
    <n v="85215.17"/>
    <n v="20878.87"/>
    <n v="2"/>
    <x v="2"/>
    <n v="2025"/>
  </r>
  <r>
    <s v="O-1408"/>
    <s v="31-Jul-2025"/>
    <s v="Ravi Patel"/>
    <x v="2"/>
    <s v="Jeans"/>
    <x v="20"/>
    <x v="3"/>
    <x v="1"/>
    <n v="4"/>
    <n v="54035"/>
    <n v="0.04"/>
    <n v="207494.39999999999"/>
    <n v="161241.45000000001"/>
    <n v="46252.95"/>
    <n v="7"/>
    <x v="8"/>
    <n v="2025"/>
  </r>
  <r>
    <s v="O-1409"/>
    <s v="25-Apr-2025"/>
    <s v="Raj Sharma"/>
    <x v="0"/>
    <s v="Microwave"/>
    <x v="39"/>
    <x v="2"/>
    <x v="1"/>
    <n v="5"/>
    <n v="1874"/>
    <n v="0.09"/>
    <n v="8526.7000000000007"/>
    <n v="7164.98"/>
    <n v="1361.72"/>
    <n v="4"/>
    <x v="0"/>
    <n v="2025"/>
  </r>
  <r>
    <s v="O-1410"/>
    <s v="09-Sep-2025"/>
    <s v="Deepak Chauhan"/>
    <x v="2"/>
    <s v="Shirt"/>
    <x v="23"/>
    <x v="2"/>
    <x v="2"/>
    <n v="3"/>
    <n v="32557"/>
    <n v="0.11"/>
    <n v="86927.19"/>
    <n v="73654.37"/>
    <n v="13272.82"/>
    <n v="9"/>
    <x v="3"/>
    <n v="2025"/>
  </r>
  <r>
    <s v="O-1411"/>
    <s v="04-Jan-2025"/>
    <s v="Kiran Singh"/>
    <x v="2"/>
    <s v="Jeans"/>
    <x v="5"/>
    <x v="3"/>
    <x v="2"/>
    <n v="3"/>
    <n v="31973"/>
    <n v="0.12"/>
    <n v="84408.72"/>
    <n v="73003.05"/>
    <n v="11405.67"/>
    <n v="1"/>
    <x v="4"/>
    <n v="2025"/>
  </r>
  <r>
    <s v="O-1412"/>
    <s v="05-Mar-2025"/>
    <s v="Ravi Patel"/>
    <x v="1"/>
    <s v="Sofa"/>
    <x v="54"/>
    <x v="1"/>
    <x v="3"/>
    <n v="3"/>
    <n v="3302"/>
    <n v="0.02"/>
    <n v="9707.8799999999992"/>
    <n v="7695.18"/>
    <n v="2012.7"/>
    <n v="3"/>
    <x v="7"/>
    <n v="2025"/>
  </r>
  <r>
    <s v="O-1413"/>
    <s v="24-Jun-2025"/>
    <s v="Meena Verma"/>
    <x v="3"/>
    <s v="Headphones"/>
    <x v="17"/>
    <x v="4"/>
    <x v="1"/>
    <n v="1"/>
    <n v="57461"/>
    <n v="0.03"/>
    <n v="55737.17"/>
    <n v="44625.93"/>
    <n v="11111.24"/>
    <n v="6"/>
    <x v="1"/>
    <n v="2025"/>
  </r>
  <r>
    <s v="O-1414"/>
    <s v="13-Aug-2025"/>
    <s v="Kiran Singh"/>
    <x v="3"/>
    <s v="Headphones"/>
    <x v="49"/>
    <x v="7"/>
    <x v="2"/>
    <n v="2"/>
    <n v="17389"/>
    <n v="0.13"/>
    <n v="30256.86"/>
    <n v="22006.959999999999"/>
    <n v="8249.9"/>
    <n v="8"/>
    <x v="6"/>
    <n v="2025"/>
  </r>
  <r>
    <s v="O-1415"/>
    <s v="19-Aug-2025"/>
    <s v="Raj Sharma"/>
    <x v="3"/>
    <s v="Tablet"/>
    <x v="44"/>
    <x v="3"/>
    <x v="1"/>
    <n v="5"/>
    <n v="11185"/>
    <n v="0.12"/>
    <n v="49214"/>
    <n v="40754.06"/>
    <n v="8459.94"/>
    <n v="8"/>
    <x v="6"/>
    <n v="2025"/>
  </r>
  <r>
    <s v="O-1416"/>
    <s v="04-Jan-2025"/>
    <s v="Deepak Chauhan"/>
    <x v="3"/>
    <s v="Mobile"/>
    <x v="50"/>
    <x v="3"/>
    <x v="1"/>
    <n v="4"/>
    <n v="26743"/>
    <n v="0.12"/>
    <n v="94135.360000000001"/>
    <n v="82161.820000000007"/>
    <n v="11973.54"/>
    <n v="1"/>
    <x v="4"/>
    <n v="2025"/>
  </r>
  <r>
    <s v="O-1417"/>
    <s v="29-Aug-2025"/>
    <s v="Deepak Chauhan"/>
    <x v="2"/>
    <s v="Shirt"/>
    <x v="22"/>
    <x v="3"/>
    <x v="1"/>
    <n v="5"/>
    <n v="44895"/>
    <n v="0.05"/>
    <n v="213251.25"/>
    <n v="182203.89"/>
    <n v="31047.360000000001"/>
    <n v="8"/>
    <x v="6"/>
    <n v="2025"/>
  </r>
  <r>
    <s v="O-1418"/>
    <s v="11-Jun-2025"/>
    <s v="Suman Rao"/>
    <x v="3"/>
    <s v="Laptop"/>
    <x v="58"/>
    <x v="3"/>
    <x v="2"/>
    <n v="3"/>
    <n v="30100"/>
    <n v="0.03"/>
    <n v="87591"/>
    <n v="69415.72"/>
    <n v="18175.28"/>
    <n v="6"/>
    <x v="1"/>
    <n v="2025"/>
  </r>
  <r>
    <s v="O-1419"/>
    <s v="13-Jul-2025"/>
    <s v="Pooja Jain"/>
    <x v="2"/>
    <s v="Jacket"/>
    <x v="36"/>
    <x v="6"/>
    <x v="2"/>
    <n v="1"/>
    <n v="21222"/>
    <n v="0.08"/>
    <n v="19524.240000000002"/>
    <n v="16551.919999999998"/>
    <n v="2972.32"/>
    <n v="7"/>
    <x v="8"/>
    <n v="2025"/>
  </r>
  <r>
    <s v="O-1420"/>
    <s v="11-Jul-2025"/>
    <s v="Kiran Singh"/>
    <x v="3"/>
    <s v="Headphones"/>
    <x v="55"/>
    <x v="6"/>
    <x v="2"/>
    <n v="3"/>
    <n v="27348"/>
    <n v="0.12"/>
    <n v="72198.720000000001"/>
    <n v="60045.2"/>
    <n v="12153.52"/>
    <n v="7"/>
    <x v="8"/>
    <n v="2025"/>
  </r>
  <r>
    <s v="O-1421"/>
    <s v="12-Jun-2025"/>
    <s v="Nikhil Joshi"/>
    <x v="0"/>
    <s v="Refrigerator"/>
    <x v="63"/>
    <x v="6"/>
    <x v="3"/>
    <n v="1"/>
    <n v="48453"/>
    <n v="0.05"/>
    <n v="46030.35"/>
    <n v="40393.64"/>
    <n v="5636.71"/>
    <n v="6"/>
    <x v="1"/>
    <n v="2025"/>
  </r>
  <r>
    <s v="O-1422"/>
    <s v="26-Feb-2025"/>
    <s v="Pooja Jain"/>
    <x v="0"/>
    <s v="Washing Machine"/>
    <x v="12"/>
    <x v="2"/>
    <x v="1"/>
    <n v="2"/>
    <n v="47732"/>
    <n v="0.02"/>
    <n v="93554.72"/>
    <n v="72861.94"/>
    <n v="20692.78"/>
    <n v="2"/>
    <x v="2"/>
    <n v="2025"/>
  </r>
  <r>
    <s v="O-1423"/>
    <s v="21-Mar-2025"/>
    <s v="Pooja Jain"/>
    <x v="0"/>
    <s v="Washing Machine"/>
    <x v="47"/>
    <x v="7"/>
    <x v="1"/>
    <n v="3"/>
    <n v="27277"/>
    <n v="0.13"/>
    <n v="71192.97"/>
    <n v="57971.47"/>
    <n v="13221.5"/>
    <n v="3"/>
    <x v="7"/>
    <n v="2025"/>
  </r>
  <r>
    <s v="O-1424"/>
    <s v="29-Jun-2025"/>
    <s v="Tanya Kapoor"/>
    <x v="0"/>
    <s v="Mixer"/>
    <x v="61"/>
    <x v="1"/>
    <x v="2"/>
    <n v="2"/>
    <n v="43899"/>
    <n v="0.05"/>
    <n v="83408.100000000006"/>
    <n v="69431.47"/>
    <n v="13976.63"/>
    <n v="6"/>
    <x v="1"/>
    <n v="2025"/>
  </r>
  <r>
    <s v="O-1425"/>
    <s v="19-Aug-2025"/>
    <s v="Deepak Chauhan"/>
    <x v="3"/>
    <s v="Laptop"/>
    <x v="18"/>
    <x v="2"/>
    <x v="2"/>
    <n v="3"/>
    <n v="40520"/>
    <n v="0.08"/>
    <n v="111835.2"/>
    <n v="90889.81"/>
    <n v="20945.39"/>
    <n v="8"/>
    <x v="6"/>
    <n v="2025"/>
  </r>
  <r>
    <s v="O-1426"/>
    <s v="20-Aug-2025"/>
    <s v="Pooja Jain"/>
    <x v="1"/>
    <s v="Bookshelf"/>
    <x v="42"/>
    <x v="2"/>
    <x v="0"/>
    <n v="4"/>
    <n v="37411"/>
    <n v="0.1"/>
    <n v="134679.6"/>
    <n v="95145.79"/>
    <n v="39533.81"/>
    <n v="8"/>
    <x v="6"/>
    <n v="2025"/>
  </r>
  <r>
    <s v="O-1427"/>
    <s v="06-Oct-2025"/>
    <s v="Raj Sharma"/>
    <x v="2"/>
    <s v="Jeans"/>
    <x v="43"/>
    <x v="2"/>
    <x v="1"/>
    <n v="3"/>
    <n v="13399"/>
    <n v="0.04"/>
    <n v="38589.120000000003"/>
    <n v="33706.32"/>
    <n v="4882.8"/>
    <n v="10"/>
    <x v="9"/>
    <n v="2025"/>
  </r>
  <r>
    <s v="O-1428"/>
    <s v="28-Feb-2025"/>
    <s v="Ravi Patel"/>
    <x v="3"/>
    <s v="Mobile"/>
    <x v="50"/>
    <x v="7"/>
    <x v="2"/>
    <n v="4"/>
    <n v="33710"/>
    <n v="0.06"/>
    <n v="126749.6"/>
    <n v="100606.73"/>
    <n v="26142.87"/>
    <n v="2"/>
    <x v="2"/>
    <n v="2025"/>
  </r>
  <r>
    <s v="O-1429"/>
    <s v="10-Apr-2025"/>
    <s v="Meena Verma"/>
    <x v="0"/>
    <s v="Washing Machine"/>
    <x v="48"/>
    <x v="7"/>
    <x v="0"/>
    <n v="2"/>
    <n v="58795"/>
    <n v="0.02"/>
    <n v="115238.2"/>
    <n v="99699.63"/>
    <n v="15538.57"/>
    <n v="4"/>
    <x v="0"/>
    <n v="2025"/>
  </r>
  <r>
    <s v="O-1430"/>
    <s v="09-Sep-2025"/>
    <s v="Meena Verma"/>
    <x v="1"/>
    <s v="Table"/>
    <x v="16"/>
    <x v="3"/>
    <x v="0"/>
    <n v="4"/>
    <n v="25993"/>
    <n v="0.03"/>
    <n v="100852.84"/>
    <n v="87434.97"/>
    <n v="13417.87"/>
    <n v="9"/>
    <x v="3"/>
    <n v="2025"/>
  </r>
  <r>
    <s v="O-1431"/>
    <s v="18-May-2025"/>
    <s v="Nikhil Joshi"/>
    <x v="3"/>
    <s v="Tablet"/>
    <x v="13"/>
    <x v="0"/>
    <x v="3"/>
    <n v="5"/>
    <n v="8466"/>
    <n v="7.0000000000000007E-2"/>
    <n v="39366.9"/>
    <n v="29724.61"/>
    <n v="9642.2900000000009"/>
    <n v="5"/>
    <x v="5"/>
    <n v="2025"/>
  </r>
  <r>
    <s v="O-1432"/>
    <s v="28-Aug-2025"/>
    <s v="Nikhil Joshi"/>
    <x v="0"/>
    <s v="Refrigerator"/>
    <x v="63"/>
    <x v="1"/>
    <x v="2"/>
    <n v="5"/>
    <n v="19751"/>
    <n v="0.13"/>
    <n v="85916.85"/>
    <n v="73245.22"/>
    <n v="12671.63"/>
    <n v="8"/>
    <x v="6"/>
    <n v="2025"/>
  </r>
  <r>
    <s v="O-1433"/>
    <s v="20-May-2025"/>
    <s v="Ravi Patel"/>
    <x v="0"/>
    <s v="Refrigerator"/>
    <x v="30"/>
    <x v="3"/>
    <x v="2"/>
    <n v="5"/>
    <n v="16227"/>
    <n v="0.13"/>
    <n v="70587.45"/>
    <n v="52188.58"/>
    <n v="18398.87"/>
    <n v="5"/>
    <x v="5"/>
    <n v="2025"/>
  </r>
  <r>
    <s v="O-1434"/>
    <s v="21-Jun-2025"/>
    <s v="Aman Tiwari"/>
    <x v="1"/>
    <s v="Chair"/>
    <x v="38"/>
    <x v="2"/>
    <x v="0"/>
    <n v="5"/>
    <n v="25320"/>
    <n v="0.05"/>
    <n v="120270"/>
    <n v="102571.54"/>
    <n v="17698.46"/>
    <n v="6"/>
    <x v="1"/>
    <n v="2025"/>
  </r>
  <r>
    <s v="O-1435"/>
    <s v="14-Feb-2025"/>
    <s v="Raj Sharma"/>
    <x v="3"/>
    <s v="Mobile"/>
    <x v="50"/>
    <x v="4"/>
    <x v="1"/>
    <n v="3"/>
    <n v="57666"/>
    <n v="0.04"/>
    <n v="166078.07999999999"/>
    <n v="141820.95000000001"/>
    <n v="24257.13"/>
    <n v="2"/>
    <x v="2"/>
    <n v="2025"/>
  </r>
  <r>
    <s v="O-1436"/>
    <s v="14-Jan-2025"/>
    <s v="Deepak Chauhan"/>
    <x v="1"/>
    <s v="Table"/>
    <x v="1"/>
    <x v="2"/>
    <x v="1"/>
    <n v="4"/>
    <n v="23584"/>
    <n v="0.06"/>
    <n v="88675.839999999997"/>
    <n v="79750.8"/>
    <n v="8925.0400000000009"/>
    <n v="1"/>
    <x v="4"/>
    <n v="2025"/>
  </r>
  <r>
    <s v="O-1437"/>
    <s v="03-Jan-2025"/>
    <s v="Kiran Singh"/>
    <x v="1"/>
    <s v="Sofa"/>
    <x v="52"/>
    <x v="6"/>
    <x v="3"/>
    <n v="1"/>
    <n v="14308"/>
    <n v="0.05"/>
    <n v="13592.6"/>
    <n v="10560.41"/>
    <n v="3032.19"/>
    <n v="1"/>
    <x v="4"/>
    <n v="2025"/>
  </r>
  <r>
    <s v="O-1438"/>
    <s v="04-Jun-2025"/>
    <s v="Nikhil Joshi"/>
    <x v="0"/>
    <s v="Washing Machine"/>
    <x v="47"/>
    <x v="0"/>
    <x v="1"/>
    <n v="1"/>
    <n v="8484"/>
    <n v="7.0000000000000007E-2"/>
    <n v="7890.12"/>
    <n v="6964.86"/>
    <n v="925.26"/>
    <n v="6"/>
    <x v="1"/>
    <n v="2025"/>
  </r>
  <r>
    <s v="O-1439"/>
    <s v="08-May-2025"/>
    <s v="Meena Verma"/>
    <x v="1"/>
    <s v="Sofa"/>
    <x v="11"/>
    <x v="6"/>
    <x v="2"/>
    <n v="2"/>
    <n v="23196"/>
    <n v="7.0000000000000007E-2"/>
    <n v="43144.56"/>
    <n v="37621.07"/>
    <n v="5523.49"/>
    <n v="5"/>
    <x v="5"/>
    <n v="2025"/>
  </r>
  <r>
    <s v="O-1440"/>
    <s v="23-Oct-2025"/>
    <s v="Kiran Singh"/>
    <x v="2"/>
    <s v="Jeans"/>
    <x v="10"/>
    <x v="7"/>
    <x v="1"/>
    <n v="2"/>
    <n v="43366"/>
    <n v="0.14000000000000001"/>
    <n v="74589.52"/>
    <n v="53820.24"/>
    <n v="20769.28"/>
    <n v="10"/>
    <x v="9"/>
    <n v="2025"/>
  </r>
  <r>
    <s v="O-1441"/>
    <s v="08-Sep-2025"/>
    <s v="Nikhil Joshi"/>
    <x v="3"/>
    <s v="Mobile"/>
    <x v="50"/>
    <x v="3"/>
    <x v="0"/>
    <n v="5"/>
    <n v="59077"/>
    <n v="0.05"/>
    <n v="280615.75"/>
    <n v="219651.78"/>
    <n v="60963.97"/>
    <n v="9"/>
    <x v="3"/>
    <n v="2025"/>
  </r>
  <r>
    <s v="O-1442"/>
    <s v="30-Jun-2025"/>
    <s v="Raj Sharma"/>
    <x v="2"/>
    <s v="Shirt"/>
    <x v="25"/>
    <x v="3"/>
    <x v="2"/>
    <n v="2"/>
    <n v="29436"/>
    <n v="0.04"/>
    <n v="56517.120000000003"/>
    <n v="40896.29"/>
    <n v="15620.83"/>
    <n v="6"/>
    <x v="1"/>
    <n v="2025"/>
  </r>
  <r>
    <s v="O-1443"/>
    <s v="08-Sep-2025"/>
    <s v="Pooja Jain"/>
    <x v="0"/>
    <s v="Refrigerator"/>
    <x v="32"/>
    <x v="6"/>
    <x v="1"/>
    <n v="1"/>
    <n v="42002"/>
    <n v="0.14000000000000001"/>
    <n v="36121.72"/>
    <n v="30383.18"/>
    <n v="5738.54"/>
    <n v="9"/>
    <x v="3"/>
    <n v="2025"/>
  </r>
  <r>
    <s v="O-1444"/>
    <s v="14-May-2025"/>
    <s v="Ravi Patel"/>
    <x v="1"/>
    <s v="Table"/>
    <x v="16"/>
    <x v="3"/>
    <x v="2"/>
    <n v="2"/>
    <n v="29754"/>
    <n v="0.03"/>
    <n v="57722.76"/>
    <n v="43397.440000000002"/>
    <n v="14325.32"/>
    <n v="5"/>
    <x v="5"/>
    <n v="2025"/>
  </r>
  <r>
    <s v="O-1445"/>
    <s v="11-Sep-2025"/>
    <s v="Deepak Chauhan"/>
    <x v="1"/>
    <s v="Sofa"/>
    <x v="14"/>
    <x v="7"/>
    <x v="0"/>
    <n v="3"/>
    <n v="28144"/>
    <n v="0.15"/>
    <n v="71767.199999999997"/>
    <n v="57991.89"/>
    <n v="13775.31"/>
    <n v="9"/>
    <x v="3"/>
    <n v="2025"/>
  </r>
  <r>
    <s v="O-1446"/>
    <s v="25-Feb-2025"/>
    <s v="Deepak Chauhan"/>
    <x v="1"/>
    <s v="Table"/>
    <x v="1"/>
    <x v="3"/>
    <x v="3"/>
    <n v="1"/>
    <n v="17214"/>
    <n v="0.11"/>
    <n v="15320.46"/>
    <n v="13465.79"/>
    <n v="1854.67"/>
    <n v="2"/>
    <x v="2"/>
    <n v="2025"/>
  </r>
  <r>
    <s v="O-1447"/>
    <s v="31-Jul-2025"/>
    <s v="Aman Tiwari"/>
    <x v="2"/>
    <s v="Jacket"/>
    <x v="31"/>
    <x v="0"/>
    <x v="0"/>
    <n v="4"/>
    <n v="40585"/>
    <n v="0.12"/>
    <n v="142859.20000000001"/>
    <n v="112842.57"/>
    <n v="30016.63"/>
    <n v="7"/>
    <x v="8"/>
    <n v="2025"/>
  </r>
  <r>
    <s v="O-1448"/>
    <s v="15-Jun-2025"/>
    <s v="Suman Rao"/>
    <x v="3"/>
    <s v="Mobile"/>
    <x v="28"/>
    <x v="7"/>
    <x v="2"/>
    <n v="5"/>
    <n v="7269"/>
    <n v="0.09"/>
    <n v="33073.949999999997"/>
    <n v="24976.47"/>
    <n v="8097.48"/>
    <n v="6"/>
    <x v="1"/>
    <n v="2025"/>
  </r>
  <r>
    <s v="O-1449"/>
    <s v="05-Jun-2025"/>
    <s v="Nikhil Joshi"/>
    <x v="1"/>
    <s v="Bookshelf"/>
    <x v="3"/>
    <x v="5"/>
    <x v="2"/>
    <n v="5"/>
    <n v="57518"/>
    <n v="0.05"/>
    <n v="273210.5"/>
    <n v="191593.82"/>
    <n v="81616.679999999993"/>
    <n v="6"/>
    <x v="1"/>
    <n v="2025"/>
  </r>
  <r>
    <s v="O-1450"/>
    <s v="07-Jun-2025"/>
    <s v="Meena Verma"/>
    <x v="1"/>
    <s v="Table"/>
    <x v="16"/>
    <x v="5"/>
    <x v="0"/>
    <n v="2"/>
    <n v="35527"/>
    <n v="0.06"/>
    <n v="66790.759999999995"/>
    <n v="51143.25"/>
    <n v="15647.51"/>
    <n v="6"/>
    <x v="1"/>
    <n v="2025"/>
  </r>
  <r>
    <s v="O-1451"/>
    <s v="16-Aug-2025"/>
    <s v="Meena Verma"/>
    <x v="3"/>
    <s v="Tablet"/>
    <x v="44"/>
    <x v="2"/>
    <x v="3"/>
    <n v="4"/>
    <n v="39557"/>
    <n v="0.12"/>
    <n v="139240.64000000001"/>
    <n v="100650.84"/>
    <n v="38589.800000000003"/>
    <n v="8"/>
    <x v="6"/>
    <n v="2025"/>
  </r>
  <r>
    <s v="O-1452"/>
    <s v="15-Jul-2025"/>
    <s v="Ravi Patel"/>
    <x v="3"/>
    <s v="Tablet"/>
    <x v="44"/>
    <x v="2"/>
    <x v="3"/>
    <n v="1"/>
    <n v="19352"/>
    <n v="0.05"/>
    <n v="18384.400000000001"/>
    <n v="15423.51"/>
    <n v="2960.89"/>
    <n v="7"/>
    <x v="8"/>
    <n v="2025"/>
  </r>
  <r>
    <s v="O-1453"/>
    <s v="06-Aug-2025"/>
    <s v="Kiran Singh"/>
    <x v="1"/>
    <s v="Sofa"/>
    <x v="11"/>
    <x v="0"/>
    <x v="0"/>
    <n v="3"/>
    <n v="29405"/>
    <n v="0.03"/>
    <n v="85568.55"/>
    <n v="67186.740000000005"/>
    <n v="18381.810000000001"/>
    <n v="8"/>
    <x v="6"/>
    <n v="2025"/>
  </r>
  <r>
    <s v="O-1454"/>
    <s v="05-Apr-2025"/>
    <s v="Aman Tiwari"/>
    <x v="3"/>
    <s v="Mobile"/>
    <x v="50"/>
    <x v="0"/>
    <x v="3"/>
    <n v="5"/>
    <n v="30108"/>
    <n v="0.09"/>
    <n v="136991.4"/>
    <n v="122388.31"/>
    <n v="14603.09"/>
    <n v="4"/>
    <x v="0"/>
    <n v="2025"/>
  </r>
  <r>
    <s v="O-1455"/>
    <s v="08-Jan-2025"/>
    <s v="Pooja Jain"/>
    <x v="2"/>
    <s v="Jacket"/>
    <x v="36"/>
    <x v="5"/>
    <x v="3"/>
    <n v="1"/>
    <n v="16890"/>
    <n v="0.04"/>
    <n v="16214.4"/>
    <n v="13156.94"/>
    <n v="3057.46"/>
    <n v="1"/>
    <x v="4"/>
    <n v="2025"/>
  </r>
  <r>
    <s v="O-1456"/>
    <s v="19-Aug-2025"/>
    <s v="Suman Rao"/>
    <x v="0"/>
    <s v="Washing Machine"/>
    <x v="12"/>
    <x v="7"/>
    <x v="2"/>
    <n v="3"/>
    <n v="18321"/>
    <n v="0.08"/>
    <n v="50565.96"/>
    <n v="38917.47"/>
    <n v="11648.49"/>
    <n v="8"/>
    <x v="6"/>
    <n v="2025"/>
  </r>
  <r>
    <s v="O-1457"/>
    <s v="25-Jul-2025"/>
    <s v="Kiran Singh"/>
    <x v="0"/>
    <s v="Refrigerator"/>
    <x v="63"/>
    <x v="3"/>
    <x v="0"/>
    <n v="5"/>
    <n v="2811"/>
    <n v="0.04"/>
    <n v="13492.8"/>
    <n v="11573.17"/>
    <n v="1919.63"/>
    <n v="7"/>
    <x v="8"/>
    <n v="2025"/>
  </r>
  <r>
    <s v="O-1458"/>
    <s v="15-Mar-2025"/>
    <s v="Tanya Kapoor"/>
    <x v="3"/>
    <s v="Tablet"/>
    <x v="7"/>
    <x v="1"/>
    <x v="3"/>
    <n v="2"/>
    <n v="19593"/>
    <n v="0.03"/>
    <n v="38010.42"/>
    <n v="26874.6"/>
    <n v="11135.82"/>
    <n v="3"/>
    <x v="7"/>
    <n v="2025"/>
  </r>
  <r>
    <s v="O-1459"/>
    <s v="28-Apr-2025"/>
    <s v="Ravi Patel"/>
    <x v="1"/>
    <s v="Bookshelf"/>
    <x v="21"/>
    <x v="3"/>
    <x v="2"/>
    <n v="1"/>
    <n v="30663"/>
    <n v="0.02"/>
    <n v="30049.74"/>
    <n v="25712.54"/>
    <n v="4337.2"/>
    <n v="4"/>
    <x v="0"/>
    <n v="2025"/>
  </r>
  <r>
    <s v="O-1460"/>
    <s v="23-Jun-2025"/>
    <s v="Tanya Kapoor"/>
    <x v="3"/>
    <s v="Headphones"/>
    <x v="59"/>
    <x v="5"/>
    <x v="2"/>
    <n v="4"/>
    <n v="53433"/>
    <n v="0.13"/>
    <n v="185946.84"/>
    <n v="149288.84"/>
    <n v="36658"/>
    <n v="6"/>
    <x v="1"/>
    <n v="2025"/>
  </r>
  <r>
    <s v="O-1461"/>
    <s v="16-Aug-2025"/>
    <s v="Deepak Chauhan"/>
    <x v="3"/>
    <s v="Tablet"/>
    <x v="13"/>
    <x v="1"/>
    <x v="3"/>
    <n v="3"/>
    <n v="15090"/>
    <n v="0.1"/>
    <n v="40743"/>
    <n v="35055.449999999997"/>
    <n v="5687.55"/>
    <n v="8"/>
    <x v="6"/>
    <n v="2025"/>
  </r>
  <r>
    <s v="O-1462"/>
    <s v="04-Apr-2025"/>
    <s v="Suman Rao"/>
    <x v="2"/>
    <s v="Shirt"/>
    <x v="22"/>
    <x v="4"/>
    <x v="0"/>
    <n v="3"/>
    <n v="23680"/>
    <n v="0.13"/>
    <n v="61804.800000000003"/>
    <n v="50671.28"/>
    <n v="11133.52"/>
    <n v="4"/>
    <x v="0"/>
    <n v="2025"/>
  </r>
  <r>
    <s v="O-1463"/>
    <s v="14-Oct-2025"/>
    <s v="Ravi Patel"/>
    <x v="1"/>
    <s v="Bookshelf"/>
    <x v="3"/>
    <x v="7"/>
    <x v="1"/>
    <n v="1"/>
    <n v="52333"/>
    <n v="7.0000000000000007E-2"/>
    <n v="48669.69"/>
    <n v="36054.379999999997"/>
    <n v="12615.31"/>
    <n v="10"/>
    <x v="9"/>
    <n v="2025"/>
  </r>
  <r>
    <s v="O-1464"/>
    <s v="25-Apr-2025"/>
    <s v="Deepak Chauhan"/>
    <x v="0"/>
    <s v="Refrigerator"/>
    <x v="4"/>
    <x v="6"/>
    <x v="1"/>
    <n v="4"/>
    <n v="25439"/>
    <n v="0.02"/>
    <n v="99720.88"/>
    <n v="84828.62"/>
    <n v="14892.26"/>
    <n v="4"/>
    <x v="0"/>
    <n v="2025"/>
  </r>
  <r>
    <s v="O-1465"/>
    <s v="26-Jan-2025"/>
    <s v="Pooja Jain"/>
    <x v="2"/>
    <s v="Jeans"/>
    <x v="5"/>
    <x v="0"/>
    <x v="1"/>
    <n v="5"/>
    <n v="28076"/>
    <n v="0.05"/>
    <n v="133361"/>
    <n v="113817.37"/>
    <n v="19543.63"/>
    <n v="1"/>
    <x v="4"/>
    <n v="2025"/>
  </r>
  <r>
    <s v="O-1466"/>
    <s v="03-Mar-2025"/>
    <s v="Kiran Singh"/>
    <x v="1"/>
    <s v="Table"/>
    <x v="16"/>
    <x v="4"/>
    <x v="2"/>
    <n v="5"/>
    <n v="53528"/>
    <n v="0.05"/>
    <n v="254258"/>
    <n v="202678.6"/>
    <n v="51579.4"/>
    <n v="3"/>
    <x v="7"/>
    <n v="2025"/>
  </r>
  <r>
    <s v="O-1467"/>
    <s v="27-Jun-2025"/>
    <s v="Suman Rao"/>
    <x v="1"/>
    <s v="Chair"/>
    <x v="46"/>
    <x v="2"/>
    <x v="3"/>
    <n v="1"/>
    <n v="23555"/>
    <n v="7.0000000000000007E-2"/>
    <n v="21906.15"/>
    <n v="18258.97"/>
    <n v="3647.18"/>
    <n v="6"/>
    <x v="1"/>
    <n v="2025"/>
  </r>
  <r>
    <s v="O-1468"/>
    <s v="25-Sep-2025"/>
    <s v="Aman Tiwari"/>
    <x v="0"/>
    <s v="Microwave"/>
    <x v="39"/>
    <x v="2"/>
    <x v="3"/>
    <n v="5"/>
    <n v="11150"/>
    <n v="0.09"/>
    <n v="50732.5"/>
    <n v="38736.25"/>
    <n v="11996.25"/>
    <n v="9"/>
    <x v="3"/>
    <n v="2025"/>
  </r>
  <r>
    <s v="O-1469"/>
    <s v="10-Jun-2025"/>
    <s v="Ravi Patel"/>
    <x v="1"/>
    <s v="Chair"/>
    <x v="8"/>
    <x v="6"/>
    <x v="0"/>
    <n v="4"/>
    <n v="42999"/>
    <n v="0.1"/>
    <n v="154796.4"/>
    <n v="118768.8"/>
    <n v="36027.599999999999"/>
    <n v="6"/>
    <x v="1"/>
    <n v="2025"/>
  </r>
  <r>
    <s v="O-1470"/>
    <s v="09-Mar-2025"/>
    <s v="Raj Sharma"/>
    <x v="3"/>
    <s v="Headphones"/>
    <x v="49"/>
    <x v="0"/>
    <x v="3"/>
    <n v="2"/>
    <n v="32187"/>
    <n v="0.04"/>
    <n v="61799.040000000001"/>
    <n v="45583.44"/>
    <n v="16215.6"/>
    <n v="3"/>
    <x v="7"/>
    <n v="2025"/>
  </r>
  <r>
    <s v="O-1471"/>
    <s v="27-Mar-2025"/>
    <s v="Raj Sharma"/>
    <x v="0"/>
    <s v="Refrigerator"/>
    <x v="63"/>
    <x v="7"/>
    <x v="3"/>
    <n v="3"/>
    <n v="6122"/>
    <n v="0.1"/>
    <n v="16529.400000000001"/>
    <n v="13111.84"/>
    <n v="3417.56"/>
    <n v="3"/>
    <x v="7"/>
    <n v="2025"/>
  </r>
  <r>
    <s v="O-1472"/>
    <s v="28-Mar-2025"/>
    <s v="Deepak Chauhan"/>
    <x v="3"/>
    <s v="Headphones"/>
    <x v="55"/>
    <x v="3"/>
    <x v="0"/>
    <n v="1"/>
    <n v="55787"/>
    <n v="0.09"/>
    <n v="50766.17"/>
    <n v="36670.07"/>
    <n v="14096.1"/>
    <n v="3"/>
    <x v="7"/>
    <n v="2025"/>
  </r>
  <r>
    <s v="O-1473"/>
    <s v="12-Apr-2025"/>
    <s v="Tanya Kapoor"/>
    <x v="1"/>
    <s v="Sofa"/>
    <x v="11"/>
    <x v="3"/>
    <x v="1"/>
    <n v="1"/>
    <n v="21593"/>
    <n v="0.08"/>
    <n v="19865.560000000001"/>
    <n v="15927.37"/>
    <n v="3938.19"/>
    <n v="4"/>
    <x v="0"/>
    <n v="2025"/>
  </r>
  <r>
    <s v="O-1474"/>
    <s v="08-Feb-2025"/>
    <s v="Ravi Patel"/>
    <x v="2"/>
    <s v="Dress"/>
    <x v="57"/>
    <x v="5"/>
    <x v="1"/>
    <n v="3"/>
    <n v="34158"/>
    <n v="0.11"/>
    <n v="91201.86"/>
    <n v="64295.21"/>
    <n v="26906.65"/>
    <n v="2"/>
    <x v="2"/>
    <n v="2025"/>
  </r>
  <r>
    <s v="O-1475"/>
    <s v="20-Jun-2025"/>
    <s v="Meena Verma"/>
    <x v="3"/>
    <s v="Laptop"/>
    <x v="40"/>
    <x v="1"/>
    <x v="0"/>
    <n v="5"/>
    <n v="26452"/>
    <n v="0.14000000000000001"/>
    <n v="113743.6"/>
    <n v="93961.25"/>
    <n v="19782.349999999999"/>
    <n v="6"/>
    <x v="1"/>
    <n v="2025"/>
  </r>
  <r>
    <s v="O-1476"/>
    <s v="12-Apr-2025"/>
    <s v="Meena Verma"/>
    <x v="1"/>
    <s v="Chair"/>
    <x v="51"/>
    <x v="7"/>
    <x v="1"/>
    <n v="1"/>
    <n v="47695"/>
    <n v="0.06"/>
    <n v="44833.3"/>
    <n v="35490.089999999997"/>
    <n v="9343.2099999999991"/>
    <n v="4"/>
    <x v="0"/>
    <n v="2025"/>
  </r>
  <r>
    <s v="O-1477"/>
    <s v="24-Jan-2025"/>
    <s v="Deepak Chauhan"/>
    <x v="2"/>
    <s v="Jacket"/>
    <x v="41"/>
    <x v="4"/>
    <x v="1"/>
    <n v="5"/>
    <n v="5608"/>
    <n v="0.12"/>
    <n v="24675.200000000001"/>
    <n v="20587.66"/>
    <n v="4087.54"/>
    <n v="1"/>
    <x v="4"/>
    <n v="2025"/>
  </r>
  <r>
    <s v="O-1478"/>
    <s v="19-Jan-2025"/>
    <s v="Nikhil Joshi"/>
    <x v="2"/>
    <s v="Jacket"/>
    <x v="36"/>
    <x v="2"/>
    <x v="1"/>
    <n v="3"/>
    <n v="33935"/>
    <n v="0.11"/>
    <n v="90606.45"/>
    <n v="65721.210000000006"/>
    <n v="24885.24"/>
    <n v="1"/>
    <x v="4"/>
    <n v="2025"/>
  </r>
  <r>
    <s v="O-1479"/>
    <s v="10-Aug-2025"/>
    <s v="Aman Tiwari"/>
    <x v="1"/>
    <s v="Sofa"/>
    <x v="52"/>
    <x v="0"/>
    <x v="1"/>
    <n v="5"/>
    <n v="35677"/>
    <n v="0.1"/>
    <n v="160546.5"/>
    <n v="119999.62"/>
    <n v="40546.879999999997"/>
    <n v="8"/>
    <x v="6"/>
    <n v="2025"/>
  </r>
  <r>
    <s v="O-1480"/>
    <s v="02-Feb-2025"/>
    <s v="Nikhil Joshi"/>
    <x v="0"/>
    <s v="Refrigerator"/>
    <x v="63"/>
    <x v="5"/>
    <x v="1"/>
    <n v="3"/>
    <n v="20932"/>
    <n v="0.04"/>
    <n v="60284.160000000003"/>
    <n v="45847.360000000001"/>
    <n v="14436.8"/>
    <n v="2"/>
    <x v="2"/>
    <n v="2025"/>
  </r>
  <r>
    <s v="O-1481"/>
    <s v="17-May-2025"/>
    <s v="Kiran Singh"/>
    <x v="1"/>
    <s v="Chair"/>
    <x v="51"/>
    <x v="2"/>
    <x v="3"/>
    <n v="4"/>
    <n v="4166"/>
    <n v="7.0000000000000007E-2"/>
    <n v="15497.52"/>
    <n v="13398.78"/>
    <n v="2098.7399999999998"/>
    <n v="5"/>
    <x v="5"/>
    <n v="2025"/>
  </r>
  <r>
    <s v="O-1482"/>
    <s v="11-Apr-2025"/>
    <s v="Pooja Jain"/>
    <x v="1"/>
    <s v="Sofa"/>
    <x v="54"/>
    <x v="0"/>
    <x v="2"/>
    <n v="3"/>
    <n v="11393"/>
    <n v="0.13"/>
    <n v="29735.73"/>
    <n v="22361.279999999999"/>
    <n v="7374.45"/>
    <n v="4"/>
    <x v="0"/>
    <n v="2025"/>
  </r>
  <r>
    <s v="O-1483"/>
    <s v="26-Oct-2025"/>
    <s v="Nikhil Joshi"/>
    <x v="2"/>
    <s v="Dress"/>
    <x v="27"/>
    <x v="1"/>
    <x v="1"/>
    <n v="1"/>
    <n v="28487"/>
    <n v="0.03"/>
    <n v="27632.39"/>
    <n v="21221.7"/>
    <n v="6410.69"/>
    <n v="10"/>
    <x v="9"/>
    <n v="2025"/>
  </r>
  <r>
    <s v="O-1484"/>
    <s v="22-Mar-2025"/>
    <s v="Raj Sharma"/>
    <x v="1"/>
    <s v="Bookshelf"/>
    <x v="42"/>
    <x v="5"/>
    <x v="1"/>
    <n v="2"/>
    <n v="55657"/>
    <n v="0.08"/>
    <n v="102408.88"/>
    <n v="74736.08"/>
    <n v="27672.799999999999"/>
    <n v="3"/>
    <x v="7"/>
    <n v="2025"/>
  </r>
  <r>
    <s v="O-1485"/>
    <s v="31-May-2025"/>
    <s v="Meena Verma"/>
    <x v="0"/>
    <s v="Refrigerator"/>
    <x v="4"/>
    <x v="4"/>
    <x v="1"/>
    <n v="5"/>
    <n v="3131"/>
    <n v="0.1"/>
    <n v="14089.5"/>
    <n v="11436.98"/>
    <n v="2652.52"/>
    <n v="5"/>
    <x v="5"/>
    <n v="2025"/>
  </r>
  <r>
    <s v="O-1486"/>
    <s v="27-Oct-2025"/>
    <s v="Aman Tiwari"/>
    <x v="2"/>
    <s v="Shirt"/>
    <x v="25"/>
    <x v="5"/>
    <x v="2"/>
    <n v="1"/>
    <n v="43804"/>
    <n v="0.05"/>
    <n v="41613.800000000003"/>
    <n v="33039.64"/>
    <n v="8574.16"/>
    <n v="10"/>
    <x v="9"/>
    <n v="2025"/>
  </r>
  <r>
    <s v="O-1487"/>
    <s v="13-Feb-2025"/>
    <s v="Tanya Kapoor"/>
    <x v="3"/>
    <s v="Headphones"/>
    <x v="55"/>
    <x v="0"/>
    <x v="2"/>
    <n v="4"/>
    <n v="25164"/>
    <n v="0.11"/>
    <n v="89583.84"/>
    <n v="62988.79"/>
    <n v="26595.05"/>
    <n v="2"/>
    <x v="2"/>
    <n v="2025"/>
  </r>
  <r>
    <s v="O-1488"/>
    <s v="21-Aug-2025"/>
    <s v="Kiran Singh"/>
    <x v="0"/>
    <s v="Mixer"/>
    <x v="35"/>
    <x v="1"/>
    <x v="1"/>
    <n v="2"/>
    <n v="16482"/>
    <n v="7.0000000000000007E-2"/>
    <n v="30656.52"/>
    <n v="26178.22"/>
    <n v="4478.3"/>
    <n v="8"/>
    <x v="6"/>
    <n v="2025"/>
  </r>
  <r>
    <s v="O-1489"/>
    <s v="27-Apr-2025"/>
    <s v="Meena Verma"/>
    <x v="1"/>
    <s v="Sofa"/>
    <x v="11"/>
    <x v="3"/>
    <x v="0"/>
    <n v="4"/>
    <n v="18254"/>
    <n v="0.11"/>
    <n v="64984.24"/>
    <n v="46832.09"/>
    <n v="18152.150000000001"/>
    <n v="4"/>
    <x v="0"/>
    <n v="2025"/>
  </r>
  <r>
    <s v="O-1490"/>
    <s v="02-Aug-2025"/>
    <s v="Aman Tiwari"/>
    <x v="1"/>
    <s v="Chair"/>
    <x v="38"/>
    <x v="1"/>
    <x v="2"/>
    <n v="4"/>
    <n v="19408"/>
    <n v="0.11"/>
    <n v="69092.479999999996"/>
    <n v="52124.71"/>
    <n v="16967.77"/>
    <n v="8"/>
    <x v="6"/>
    <n v="2025"/>
  </r>
  <r>
    <s v="O-1491"/>
    <s v="18-Feb-2025"/>
    <s v="Ravi Patel"/>
    <x v="2"/>
    <s v="Dress"/>
    <x v="45"/>
    <x v="6"/>
    <x v="1"/>
    <n v="4"/>
    <n v="21311"/>
    <n v="7.0000000000000007E-2"/>
    <n v="79276.92"/>
    <n v="60391.3"/>
    <n v="18885.62"/>
    <n v="2"/>
    <x v="2"/>
    <n v="2025"/>
  </r>
  <r>
    <s v="O-1492"/>
    <s v="03-Mar-2025"/>
    <s v="Raj Sharma"/>
    <x v="0"/>
    <s v="Refrigerator"/>
    <x v="30"/>
    <x v="7"/>
    <x v="3"/>
    <n v="5"/>
    <n v="13462"/>
    <n v="0.09"/>
    <n v="61252.1"/>
    <n v="50889.3"/>
    <n v="10362.799999999999"/>
    <n v="3"/>
    <x v="7"/>
    <n v="2025"/>
  </r>
  <r>
    <s v="O-1493"/>
    <s v="27-Jul-2025"/>
    <s v="Raj Sharma"/>
    <x v="1"/>
    <s v="Bookshelf"/>
    <x v="3"/>
    <x v="0"/>
    <x v="2"/>
    <n v="2"/>
    <n v="30093"/>
    <n v="0.1"/>
    <n v="54167.4"/>
    <n v="40249.86"/>
    <n v="13917.54"/>
    <n v="7"/>
    <x v="8"/>
    <n v="2025"/>
  </r>
  <r>
    <s v="O-1494"/>
    <s v="01-Sep-2025"/>
    <s v="Pooja Jain"/>
    <x v="3"/>
    <s v="Tablet"/>
    <x v="7"/>
    <x v="3"/>
    <x v="3"/>
    <n v="1"/>
    <n v="56344"/>
    <n v="0.05"/>
    <n v="53526.8"/>
    <n v="40242.480000000003"/>
    <n v="13284.32"/>
    <n v="9"/>
    <x v="3"/>
    <n v="2025"/>
  </r>
  <r>
    <s v="O-1495"/>
    <s v="26-Sep-2025"/>
    <s v="Suman Rao"/>
    <x v="2"/>
    <s v="Shirt"/>
    <x v="22"/>
    <x v="4"/>
    <x v="0"/>
    <n v="2"/>
    <n v="36813"/>
    <n v="0.1"/>
    <n v="66263.399999999994"/>
    <n v="57576.51"/>
    <n v="8686.89"/>
    <n v="9"/>
    <x v="3"/>
    <n v="2025"/>
  </r>
  <r>
    <s v="O-1496"/>
    <s v="13-Jun-2025"/>
    <s v="Ravi Patel"/>
    <x v="2"/>
    <s v="Jeans"/>
    <x v="20"/>
    <x v="7"/>
    <x v="0"/>
    <n v="1"/>
    <n v="56752"/>
    <n v="0.04"/>
    <n v="54481.919999999998"/>
    <n v="38798.44"/>
    <n v="15683.48"/>
    <n v="6"/>
    <x v="1"/>
    <n v="2025"/>
  </r>
  <r>
    <s v="O-1497"/>
    <s v="20-Aug-2025"/>
    <s v="Pooja Jain"/>
    <x v="3"/>
    <s v="Headphones"/>
    <x v="59"/>
    <x v="6"/>
    <x v="1"/>
    <n v="1"/>
    <n v="24969"/>
    <n v="0.1"/>
    <n v="22472.1"/>
    <n v="16870.28"/>
    <n v="5601.82"/>
    <n v="8"/>
    <x v="6"/>
    <n v="2025"/>
  </r>
  <r>
    <s v="O-1498"/>
    <s v="21-May-2025"/>
    <s v="Nikhil Joshi"/>
    <x v="3"/>
    <s v="Tablet"/>
    <x v="7"/>
    <x v="0"/>
    <x v="1"/>
    <n v="3"/>
    <n v="2835"/>
    <n v="0.08"/>
    <n v="7824.6"/>
    <n v="6980.65"/>
    <n v="843.95"/>
    <n v="5"/>
    <x v="5"/>
    <n v="2025"/>
  </r>
  <r>
    <s v="O-1499"/>
    <s v="16-Mar-2025"/>
    <s v="Kiran Singh"/>
    <x v="1"/>
    <s v="Table"/>
    <x v="1"/>
    <x v="6"/>
    <x v="2"/>
    <n v="2"/>
    <n v="41948"/>
    <n v="0.13"/>
    <n v="72989.52"/>
    <n v="56447"/>
    <n v="16542.52"/>
    <n v="3"/>
    <x v="7"/>
    <n v="2025"/>
  </r>
  <r>
    <s v="O-1500"/>
    <s v="21-Apr-2025"/>
    <s v="Raj Sharma"/>
    <x v="2"/>
    <s v="Jeans"/>
    <x v="20"/>
    <x v="3"/>
    <x v="2"/>
    <n v="1"/>
    <n v="49343"/>
    <n v="0.14000000000000001"/>
    <n v="42434.98"/>
    <n v="32484.59"/>
    <n v="9950.39"/>
    <n v="4"/>
    <x v="0"/>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C4" firstHeaderRow="0" firstDataRow="1" firstDataCol="1"/>
  <pivotFields count="17">
    <pivotField showAll="0"/>
    <pivotField showAll="0"/>
    <pivotField showAll="0"/>
    <pivotField showAll="0"/>
    <pivotField showAll="0"/>
    <pivotField showAll="0"/>
    <pivotField showAll="0">
      <items count="9">
        <item h="1" x="1"/>
        <item h="1" x="6"/>
        <item h="1" x="5"/>
        <item h="1" x="4"/>
        <item h="1" x="0"/>
        <item x="3"/>
        <item h="1" x="2"/>
        <item h="1" x="7"/>
        <item t="default"/>
      </items>
    </pivotField>
    <pivotField axis="axisRow" showAll="0">
      <items count="5">
        <item x="3"/>
        <item h="1" x="1"/>
        <item h="1" x="0"/>
        <item h="1" x="2"/>
        <item t="default"/>
      </items>
    </pivotField>
    <pivotField showAll="0"/>
    <pivotField showAll="0"/>
    <pivotField showAll="0"/>
    <pivotField dataField="1" numFmtId="2" showAll="0"/>
    <pivotField numFmtId="2" showAll="0"/>
    <pivotField dataField="1" numFmtId="2" showAll="0"/>
    <pivotField showAll="0"/>
    <pivotField showAll="0">
      <items count="11">
        <item h="1" x="4"/>
        <item h="1" x="2"/>
        <item h="1" x="7"/>
        <item h="1" x="0"/>
        <item x="5"/>
        <item h="1" x="1"/>
        <item h="1" x="8"/>
        <item h="1" x="6"/>
        <item h="1" x="3"/>
        <item h="1" x="9"/>
        <item t="default"/>
      </items>
    </pivotField>
    <pivotField showAll="0"/>
  </pivotFields>
  <rowFields count="1">
    <field x="7"/>
  </rowFields>
  <rowItems count="1">
    <i>
      <x/>
    </i>
  </rowItems>
  <colFields count="1">
    <field x="-2"/>
  </colFields>
  <colItems count="2">
    <i>
      <x/>
    </i>
    <i i="1">
      <x v="1"/>
    </i>
  </colItems>
  <dataFields count="2">
    <dataField name="Sum of Total Sales" fld="11" baseField="0" baseItem="0"/>
    <dataField name="Sum of Profi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location ref="A3:B4" firstHeaderRow="1" firstDataRow="1" firstDataCol="1"/>
  <pivotFields count="17">
    <pivotField showAll="0"/>
    <pivotField showAll="0"/>
    <pivotField showAll="0"/>
    <pivotField showAll="0"/>
    <pivotField showAll="0"/>
    <pivotField showAll="0"/>
    <pivotField showAll="0">
      <items count="9">
        <item h="1" x="1"/>
        <item h="1" x="6"/>
        <item h="1" x="5"/>
        <item h="1" x="4"/>
        <item h="1" x="0"/>
        <item x="3"/>
        <item h="1" x="2"/>
        <item h="1" x="7"/>
        <item t="default"/>
      </items>
    </pivotField>
    <pivotField showAll="0">
      <items count="5">
        <item x="3"/>
        <item h="1" x="1"/>
        <item h="1" x="0"/>
        <item h="1" x="2"/>
        <item t="default"/>
      </items>
    </pivotField>
    <pivotField showAll="0"/>
    <pivotField showAll="0"/>
    <pivotField showAll="0"/>
    <pivotField dataField="1" numFmtId="2" showAll="0"/>
    <pivotField numFmtId="2" showAll="0"/>
    <pivotField numFmtId="2" showAll="0"/>
    <pivotField showAll="0"/>
    <pivotField axis="axisRow" showAll="0" sortType="descending">
      <items count="11">
        <item h="1" x="4"/>
        <item h="1" x="2"/>
        <item h="1" x="7"/>
        <item h="1" x="0"/>
        <item x="5"/>
        <item h="1" x="1"/>
        <item h="1" x="8"/>
        <item h="1" x="6"/>
        <item h="1" x="3"/>
        <item h="1" x="9"/>
        <item t="default"/>
      </items>
      <autoSortScope>
        <pivotArea dataOnly="0" outline="0" fieldPosition="0">
          <references count="1">
            <reference field="4294967294" count="1" selected="0">
              <x v="0"/>
            </reference>
          </references>
        </pivotArea>
      </autoSortScope>
    </pivotField>
    <pivotField showAll="0"/>
  </pivotFields>
  <rowFields count="1">
    <field x="15"/>
  </rowFields>
  <rowItems count="1">
    <i>
      <x v="4"/>
    </i>
  </rowItems>
  <colItems count="1">
    <i/>
  </colItems>
  <dataFields count="1">
    <dataField name="Sum of Total Sales" fld="11" baseField="0" baseItem="0"/>
  </dataFields>
  <formats count="1">
    <format dxfId="20">
      <pivotArea collapsedLevelsAreSubtotals="1" fieldPosition="0">
        <references count="1">
          <reference field="15" count="1">
            <x v="5"/>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C4" firstHeaderRow="0" firstDataRow="1" firstDataCol="1"/>
  <pivotFields count="17">
    <pivotField showAll="0"/>
    <pivotField showAll="0"/>
    <pivotField showAll="0"/>
    <pivotField showAll="0"/>
    <pivotField showAll="0"/>
    <pivotField axis="axisRow" showAll="0" measureFilter="1" sortType="descending">
      <items count="65">
        <item x="14"/>
        <item x="18"/>
        <item x="53"/>
        <item x="49"/>
        <item x="0"/>
        <item x="27"/>
        <item x="23"/>
        <item x="37"/>
        <item x="62"/>
        <item x="34"/>
        <item x="42"/>
        <item x="40"/>
        <item x="41"/>
        <item x="25"/>
        <item x="16"/>
        <item x="38"/>
        <item x="57"/>
        <item x="46"/>
        <item x="22"/>
        <item x="21"/>
        <item x="32"/>
        <item x="36"/>
        <item x="58"/>
        <item x="2"/>
        <item x="48"/>
        <item x="7"/>
        <item x="50"/>
        <item x="17"/>
        <item x="26"/>
        <item x="52"/>
        <item x="33"/>
        <item x="24"/>
        <item x="15"/>
        <item x="4"/>
        <item x="12"/>
        <item x="54"/>
        <item x="8"/>
        <item x="3"/>
        <item x="51"/>
        <item x="39"/>
        <item x="45"/>
        <item x="61"/>
        <item x="9"/>
        <item x="56"/>
        <item x="13"/>
        <item x="11"/>
        <item x="28"/>
        <item x="10"/>
        <item x="19"/>
        <item x="47"/>
        <item x="63"/>
        <item x="6"/>
        <item x="44"/>
        <item x="5"/>
        <item x="59"/>
        <item x="20"/>
        <item x="1"/>
        <item x="35"/>
        <item x="60"/>
        <item x="43"/>
        <item x="30"/>
        <item x="31"/>
        <item x="29"/>
        <item x="55"/>
        <item t="default"/>
      </items>
      <autoSortScope>
        <pivotArea dataOnly="0" outline="0" fieldPosition="0">
          <references count="1">
            <reference field="4294967294" count="1" selected="0">
              <x v="1"/>
            </reference>
          </references>
        </pivotArea>
      </autoSortScope>
    </pivotField>
    <pivotField showAll="0">
      <items count="9">
        <item h="1" x="1"/>
        <item h="1" x="6"/>
        <item h="1" x="5"/>
        <item h="1" x="4"/>
        <item h="1" x="0"/>
        <item x="3"/>
        <item h="1" x="2"/>
        <item h="1" x="7"/>
        <item t="default"/>
      </items>
    </pivotField>
    <pivotField showAll="0">
      <items count="5">
        <item x="3"/>
        <item h="1" x="1"/>
        <item h="1" x="0"/>
        <item h="1" x="2"/>
        <item t="default"/>
      </items>
    </pivotField>
    <pivotField showAll="0"/>
    <pivotField showAll="0"/>
    <pivotField showAll="0"/>
    <pivotField dataField="1" numFmtId="2" showAll="0"/>
    <pivotField numFmtId="2" showAll="0"/>
    <pivotField dataField="1" numFmtId="2" showAll="0"/>
    <pivotField showAll="0"/>
    <pivotField showAll="0">
      <items count="11">
        <item h="1" x="4"/>
        <item h="1" x="2"/>
        <item h="1" x="7"/>
        <item h="1" x="0"/>
        <item x="5"/>
        <item h="1" x="1"/>
        <item h="1" x="8"/>
        <item h="1" x="6"/>
        <item h="1" x="3"/>
        <item h="1" x="9"/>
        <item t="default"/>
      </items>
    </pivotField>
    <pivotField showAll="0"/>
  </pivotFields>
  <rowFields count="1">
    <field x="5"/>
  </rowFields>
  <rowItems count="1">
    <i>
      <x v="11"/>
    </i>
  </rowItems>
  <colFields count="1">
    <field x="-2"/>
  </colFields>
  <colItems count="2">
    <i>
      <x/>
    </i>
    <i i="1">
      <x v="1"/>
    </i>
  </colItems>
  <dataFields count="2">
    <dataField name="Sum of Total Sales" fld="11" baseField="0" baseItem="0"/>
    <dataField name="Sum of Profi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9">
  <location ref="A3:C4" firstHeaderRow="0" firstDataRow="1" firstDataCol="1"/>
  <pivotFields count="17">
    <pivotField showAll="0"/>
    <pivotField showAll="0"/>
    <pivotField showAll="0"/>
    <pivotField showAll="0"/>
    <pivotField showAll="0"/>
    <pivotField showAll="0"/>
    <pivotField axis="axisRow" showAll="0">
      <items count="9">
        <item h="1" x="1"/>
        <item h="1" x="6"/>
        <item h="1" x="5"/>
        <item h="1" x="4"/>
        <item h="1" x="0"/>
        <item x="3"/>
        <item h="1" x="2"/>
        <item h="1" x="7"/>
        <item t="default"/>
      </items>
    </pivotField>
    <pivotField showAll="0">
      <items count="5">
        <item x="3"/>
        <item h="1" x="1"/>
        <item h="1" x="0"/>
        <item h="1" x="2"/>
        <item t="default"/>
      </items>
    </pivotField>
    <pivotField dataField="1" showAll="0"/>
    <pivotField showAll="0"/>
    <pivotField showAll="0"/>
    <pivotField numFmtId="2" showAll="0"/>
    <pivotField numFmtId="2" showAll="0"/>
    <pivotField dataField="1" numFmtId="2" showAll="0"/>
    <pivotField showAll="0"/>
    <pivotField showAll="0">
      <items count="11">
        <item h="1" x="4"/>
        <item h="1" x="2"/>
        <item h="1" x="7"/>
        <item h="1" x="0"/>
        <item x="5"/>
        <item h="1" x="1"/>
        <item h="1" x="8"/>
        <item h="1" x="6"/>
        <item h="1" x="3"/>
        <item h="1" x="9"/>
        <item t="default"/>
      </items>
    </pivotField>
    <pivotField showAll="0"/>
  </pivotFields>
  <rowFields count="1">
    <field x="6"/>
  </rowFields>
  <rowItems count="1">
    <i>
      <x v="5"/>
    </i>
  </rowItems>
  <colFields count="1">
    <field x="-2"/>
  </colFields>
  <colItems count="2">
    <i>
      <x/>
    </i>
    <i i="1">
      <x v="1"/>
    </i>
  </colItems>
  <dataFields count="2">
    <dataField name="Count of Quantity" fld="8" subtotal="count" baseField="6" baseItem="0"/>
    <dataField name="Sum of Profit" fld="13"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9">
  <location ref="A3:D4" firstHeaderRow="0" firstDataRow="1" firstDataCol="1"/>
  <pivotFields count="17">
    <pivotField showAll="0"/>
    <pivotField showAll="0"/>
    <pivotField showAll="0"/>
    <pivotField axis="axisRow" showAll="0">
      <items count="5">
        <item x="0"/>
        <item x="2"/>
        <item x="3"/>
        <item x="1"/>
        <item t="default"/>
      </items>
    </pivotField>
    <pivotField showAll="0"/>
    <pivotField showAll="0"/>
    <pivotField showAll="0">
      <items count="9">
        <item h="1" x="1"/>
        <item h="1" x="6"/>
        <item h="1" x="5"/>
        <item h="1" x="4"/>
        <item h="1" x="0"/>
        <item x="3"/>
        <item h="1" x="2"/>
        <item h="1" x="7"/>
        <item t="default"/>
      </items>
    </pivotField>
    <pivotField showAll="0">
      <items count="5">
        <item x="3"/>
        <item h="1" x="1"/>
        <item h="1" x="0"/>
        <item h="1" x="2"/>
        <item t="default"/>
      </items>
    </pivotField>
    <pivotField showAll="0"/>
    <pivotField showAll="0"/>
    <pivotField dataField="1" showAll="0"/>
    <pivotField dataField="1" numFmtId="2" showAll="0"/>
    <pivotField numFmtId="2" showAll="0"/>
    <pivotField dataField="1" numFmtId="2" showAll="0"/>
    <pivotField showAll="0"/>
    <pivotField showAll="0">
      <items count="11">
        <item h="1" x="4"/>
        <item h="1" x="2"/>
        <item h="1" x="7"/>
        <item h="1" x="0"/>
        <item x="5"/>
        <item h="1" x="1"/>
        <item h="1" x="8"/>
        <item h="1" x="6"/>
        <item h="1" x="3"/>
        <item h="1" x="9"/>
        <item t="default"/>
      </items>
    </pivotField>
    <pivotField showAll="0"/>
  </pivotFields>
  <rowFields count="1">
    <field x="3"/>
  </rowFields>
  <rowItems count="1">
    <i>
      <x v="2"/>
    </i>
  </rowItems>
  <colFields count="1">
    <field x="-2"/>
  </colFields>
  <colItems count="3">
    <i>
      <x/>
    </i>
    <i i="1">
      <x v="1"/>
    </i>
    <i i="2">
      <x v="2"/>
    </i>
  </colItems>
  <dataFields count="3">
    <dataField name="Sum of Total Sales" fld="11" baseField="0" baseItem="0"/>
    <dataField name="Sum of Profit" fld="13" baseField="0" baseItem="0"/>
    <dataField name="Average of Discount" fld="10" subtotal="average" baseField="3"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6" name="PivotTable1"/>
    <pivotTable tabId="10" name="PivotTable5"/>
    <pivotTable tabId="7" name="PivotTable2"/>
    <pivotTable tabId="9" name="PivotTable4"/>
    <pivotTable tabId="8" name="PivotTable3"/>
  </pivotTables>
  <data>
    <tabular pivotCacheId="1">
      <items count="8">
        <i x="1"/>
        <i x="5"/>
        <i x="4"/>
        <i x="0"/>
        <i x="3" s="1"/>
        <i x="2"/>
        <i x="6" nd="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1"/>
    <pivotTable tabId="10" name="PivotTable5"/>
    <pivotTable tabId="7" name="PivotTable2"/>
    <pivotTable tabId="9" name="PivotTable4"/>
    <pivotTable tabId="8" name="PivotTable3"/>
  </pivotTables>
  <data>
    <tabular pivotCacheId="1">
      <items count="4">
        <i x="3" s="1"/>
        <i x="0"/>
        <i x="2"/>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Name" sourceName="MonthName">
  <pivotTables>
    <pivotTable tabId="6" name="PivotTable1"/>
    <pivotTable tabId="10" name="PivotTable5"/>
    <pivotTable tabId="7" name="PivotTable2"/>
    <pivotTable tabId="9" name="PivotTable4"/>
    <pivotTable tabId="8" name="PivotTable3"/>
  </pivotTables>
  <data>
    <tabular pivotCacheId="1">
      <items count="10">
        <i x="4"/>
        <i x="2"/>
        <i x="0"/>
        <i x="5" s="1"/>
        <i x="1"/>
        <i x="3"/>
        <i x="9"/>
        <i x="7" nd="1"/>
        <i x="8"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person" cache="Slicer_Salesperson" caption="Salesperson" rowHeight="234950"/>
  <slicer name="Region" cache="Slicer_Region" caption="Region" rowHeight="234950"/>
  <slicer name="MonthName" cache="Slicer_MonthName" caption="MonthName" rowHeight="234950"/>
</slicers>
</file>

<file path=xl/tables/table1.xml><?xml version="1.0" encoding="utf-8"?>
<table xmlns="http://schemas.openxmlformats.org/spreadsheetml/2006/main" id="1" name="TblSales" displayName="TblSales" ref="A1:Q502" totalsRowCount="1" headerRowDxfId="42" headerRowBorderDxfId="41" tableBorderDxfId="40">
  <autoFilter ref="A1:Q501"/>
  <tableColumns count="17">
    <tableColumn id="1" name="Order ID"/>
    <tableColumn id="2" name="Date" dataDxfId="39" totalsRowDxfId="38"/>
    <tableColumn id="3" name="Customer Name"/>
    <tableColumn id="4" name="Product Category"/>
    <tableColumn id="5" name="Sub-Category"/>
    <tableColumn id="6" name="Product Name"/>
    <tableColumn id="7" name="Salesperson"/>
    <tableColumn id="8" name="Region"/>
    <tableColumn id="9" name="Quantity"/>
    <tableColumn id="10" name="Unit Price"/>
    <tableColumn id="11" name="Discount"/>
    <tableColumn id="12" name="Total Sales" dataDxfId="37" totalsRowDxfId="36"/>
    <tableColumn id="13" name="Cost" dataDxfId="35" totalsRowDxfId="34"/>
    <tableColumn id="14" name="Profit" dataDxfId="33" totalsRowDxfId="32"/>
    <tableColumn id="15" name="MonthNum" dataDxfId="31" totalsRowDxfId="30">
      <calculatedColumnFormula>MONTH(TblSales[[#This Row],[Date]])</calculatedColumnFormula>
    </tableColumn>
    <tableColumn id="16" name="MonthName" dataDxfId="29" totalsRowDxfId="28">
      <calculatedColumnFormula>TEXT(TblSales[[#This Row],[Date]],"mmm")</calculatedColumnFormula>
    </tableColumn>
    <tableColumn id="17" name="Year" dataDxfId="27" totalsRowDxfId="26">
      <calculatedColumnFormula>YEAR(TblSales[[#This Row],[Date]])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L506:M512" totalsRowCount="1" headerRowDxfId="25">
  <autoFilter ref="L506:M511"/>
  <tableColumns count="2">
    <tableColumn id="1" name="Products" dataDxfId="24" totalsRowDxfId="23"/>
    <tableColumn id="2" name="Total Sales" dataDxfId="22" totalsRowDxfId="2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I18" sqref="I18"/>
    </sheetView>
  </sheetViews>
  <sheetFormatPr defaultRowHeight="14.4"/>
  <cols>
    <col min="1" max="1" width="12.5546875" bestFit="1" customWidth="1"/>
    <col min="2" max="2" width="16.44140625" bestFit="1" customWidth="1"/>
    <col min="3" max="3" width="12.109375" bestFit="1" customWidth="1"/>
  </cols>
  <sheetData>
    <row r="3" spans="1:3">
      <c r="A3" s="13" t="s">
        <v>934</v>
      </c>
      <c r="B3" t="s">
        <v>935</v>
      </c>
      <c r="C3" t="s">
        <v>936</v>
      </c>
    </row>
    <row r="4" spans="1:3">
      <c r="A4" s="14" t="s">
        <v>56</v>
      </c>
      <c r="B4" s="7">
        <v>233908.95</v>
      </c>
      <c r="C4" s="7">
        <v>58788.42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topLeftCell="A4" workbookViewId="0">
      <selection activeCell="M11" sqref="M11"/>
    </sheetView>
  </sheetViews>
  <sheetFormatPr defaultRowHeight="14.4"/>
  <cols>
    <col min="1" max="1" width="12.5546875" bestFit="1" customWidth="1"/>
    <col min="2" max="2" width="16.44140625" bestFit="1" customWidth="1"/>
  </cols>
  <sheetData>
    <row r="3" spans="1:2">
      <c r="A3" s="13" t="s">
        <v>934</v>
      </c>
      <c r="B3" t="s">
        <v>935</v>
      </c>
    </row>
    <row r="4" spans="1:2">
      <c r="A4" s="14" t="s">
        <v>938</v>
      </c>
      <c r="B4" s="7">
        <v>233908.95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J17" sqref="J17"/>
    </sheetView>
  </sheetViews>
  <sheetFormatPr defaultRowHeight="14.4"/>
  <cols>
    <col min="1" max="1" width="12.5546875" customWidth="1"/>
    <col min="2" max="2" width="16.44140625" bestFit="1" customWidth="1"/>
    <col min="3" max="3" width="12.109375" bestFit="1" customWidth="1"/>
  </cols>
  <sheetData>
    <row r="3" spans="1:3">
      <c r="A3" s="13" t="s">
        <v>934</v>
      </c>
      <c r="B3" t="s">
        <v>935</v>
      </c>
      <c r="C3" t="s">
        <v>936</v>
      </c>
    </row>
    <row r="4" spans="1:3">
      <c r="A4" s="14" t="s">
        <v>209</v>
      </c>
      <c r="B4" s="7">
        <v>233908.95</v>
      </c>
      <c r="C4" s="7">
        <v>58788.42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N16" sqref="N16"/>
    </sheetView>
  </sheetViews>
  <sheetFormatPr defaultRowHeight="14.4"/>
  <cols>
    <col min="1" max="1" width="12.5546875" bestFit="1" customWidth="1"/>
    <col min="2" max="2" width="16.21875" bestFit="1" customWidth="1"/>
    <col min="3" max="3" width="12.109375" customWidth="1"/>
  </cols>
  <sheetData>
    <row r="3" spans="1:3">
      <c r="A3" s="13" t="s">
        <v>934</v>
      </c>
      <c r="B3" t="s">
        <v>939</v>
      </c>
      <c r="C3" t="s">
        <v>936</v>
      </c>
    </row>
    <row r="4" spans="1:3">
      <c r="A4" s="14" t="s">
        <v>40</v>
      </c>
      <c r="B4" s="7">
        <v>1</v>
      </c>
      <c r="C4" s="7">
        <v>58788.42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
  <sheetViews>
    <sheetView workbookViewId="0">
      <selection activeCell="L20" sqref="L20"/>
    </sheetView>
  </sheetViews>
  <sheetFormatPr defaultRowHeight="14.4"/>
  <cols>
    <col min="1" max="1" width="12.5546875" bestFit="1" customWidth="1"/>
    <col min="2" max="2" width="16.44140625" bestFit="1" customWidth="1"/>
    <col min="3" max="3" width="12.109375" bestFit="1" customWidth="1"/>
    <col min="4" max="4" width="18.109375" bestFit="1" customWidth="1"/>
  </cols>
  <sheetData>
    <row r="3" spans="1:4">
      <c r="A3" s="13" t="s">
        <v>934</v>
      </c>
      <c r="B3" t="s">
        <v>935</v>
      </c>
      <c r="C3" t="s">
        <v>936</v>
      </c>
      <c r="D3" t="s">
        <v>940</v>
      </c>
    </row>
    <row r="4" spans="1:4">
      <c r="A4" s="14" t="s">
        <v>60</v>
      </c>
      <c r="B4" s="7">
        <v>233908.95</v>
      </c>
      <c r="C4" s="7">
        <v>58788.42</v>
      </c>
      <c r="D4" s="7">
        <v>7.0000000000000007E-2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2"/>
  <sheetViews>
    <sheetView topLeftCell="H1" workbookViewId="0">
      <selection activeCell="K7" sqref="K7"/>
    </sheetView>
  </sheetViews>
  <sheetFormatPr defaultColWidth="17.5546875" defaultRowHeight="14.4"/>
  <cols>
    <col min="2" max="2" width="17.5546875" style="5"/>
    <col min="12" max="14" width="17.5546875" style="9"/>
  </cols>
  <sheetData>
    <row r="1" spans="1:19">
      <c r="A1" s="3" t="s">
        <v>0</v>
      </c>
      <c r="B1" s="4" t="s">
        <v>1</v>
      </c>
      <c r="C1" s="3" t="s">
        <v>2</v>
      </c>
      <c r="D1" s="3" t="s">
        <v>3</v>
      </c>
      <c r="E1" s="3" t="s">
        <v>4</v>
      </c>
      <c r="F1" s="3" t="s">
        <v>5</v>
      </c>
      <c r="G1" s="3" t="s">
        <v>6</v>
      </c>
      <c r="H1" s="3" t="s">
        <v>7</v>
      </c>
      <c r="I1" s="3" t="s">
        <v>8</v>
      </c>
      <c r="J1" s="3" t="s">
        <v>9</v>
      </c>
      <c r="K1" s="3" t="s">
        <v>10</v>
      </c>
      <c r="L1" s="8" t="s">
        <v>11</v>
      </c>
      <c r="M1" s="10" t="s">
        <v>12</v>
      </c>
      <c r="N1" s="10" t="s">
        <v>13</v>
      </c>
      <c r="O1" s="3" t="s">
        <v>920</v>
      </c>
      <c r="P1" s="3" t="s">
        <v>921</v>
      </c>
      <c r="Q1" s="3" t="s">
        <v>922</v>
      </c>
    </row>
    <row r="2" spans="1:19">
      <c r="A2" t="s">
        <v>14</v>
      </c>
      <c r="B2" s="5" t="s">
        <v>15</v>
      </c>
      <c r="C2" t="s">
        <v>16</v>
      </c>
      <c r="D2" t="s">
        <v>17</v>
      </c>
      <c r="E2" t="s">
        <v>18</v>
      </c>
      <c r="F2" t="s">
        <v>19</v>
      </c>
      <c r="G2" t="s">
        <v>20</v>
      </c>
      <c r="H2" t="s">
        <v>21</v>
      </c>
      <c r="I2">
        <v>5</v>
      </c>
      <c r="J2">
        <v>52061</v>
      </c>
      <c r="K2">
        <v>0.11</v>
      </c>
      <c r="L2" s="9">
        <v>231671.45</v>
      </c>
      <c r="M2" s="9">
        <v>187803.16</v>
      </c>
      <c r="N2" s="9">
        <v>43868.29</v>
      </c>
      <c r="O2">
        <f>MONTH(TblSales[[#This Row],[Date]])</f>
        <v>4</v>
      </c>
      <c r="P2" t="str">
        <f>TEXT(TblSales[[#This Row],[Date]],"mmm")</f>
        <v>Apr</v>
      </c>
      <c r="Q2">
        <f>YEAR(TblSales[[#This Row],[Date]])</f>
        <v>2025</v>
      </c>
    </row>
    <row r="3" spans="1:19">
      <c r="A3" t="s">
        <v>22</v>
      </c>
      <c r="B3" s="5" t="s">
        <v>23</v>
      </c>
      <c r="C3" t="s">
        <v>24</v>
      </c>
      <c r="D3" t="s">
        <v>25</v>
      </c>
      <c r="E3" t="s">
        <v>26</v>
      </c>
      <c r="F3" t="s">
        <v>27</v>
      </c>
      <c r="G3" t="s">
        <v>28</v>
      </c>
      <c r="H3" t="s">
        <v>29</v>
      </c>
      <c r="I3">
        <v>5</v>
      </c>
      <c r="J3">
        <v>5012</v>
      </c>
      <c r="K3">
        <v>0.11</v>
      </c>
      <c r="L3" s="9">
        <v>22303.4</v>
      </c>
      <c r="M3" s="9">
        <v>15744.31</v>
      </c>
      <c r="N3" s="9">
        <v>6559.09</v>
      </c>
      <c r="O3">
        <f>MONTH(TblSales[[#This Row],[Date]])</f>
        <v>6</v>
      </c>
      <c r="P3" t="str">
        <f>TEXT(TblSales[[#This Row],[Date]],"mmm")</f>
        <v>Jun</v>
      </c>
      <c r="Q3">
        <f>YEAR(TblSales[[#This Row],[Date]])</f>
        <v>2025</v>
      </c>
    </row>
    <row r="4" spans="1:19">
      <c r="A4" t="s">
        <v>30</v>
      </c>
      <c r="B4" s="5" t="s">
        <v>31</v>
      </c>
      <c r="C4" t="s">
        <v>32</v>
      </c>
      <c r="D4" t="s">
        <v>17</v>
      </c>
      <c r="E4" t="s">
        <v>18</v>
      </c>
      <c r="F4" t="s">
        <v>19</v>
      </c>
      <c r="G4" t="s">
        <v>33</v>
      </c>
      <c r="H4" t="s">
        <v>34</v>
      </c>
      <c r="I4">
        <v>4</v>
      </c>
      <c r="J4">
        <v>35352</v>
      </c>
      <c r="K4">
        <v>0.09</v>
      </c>
      <c r="L4" s="9">
        <v>128681.28</v>
      </c>
      <c r="M4" s="9">
        <v>110730.22</v>
      </c>
      <c r="N4" s="9">
        <v>17951.060000000001</v>
      </c>
      <c r="O4">
        <f>MONTH(TblSales[[#This Row],[Date]])</f>
        <v>4</v>
      </c>
      <c r="P4" t="str">
        <f>TEXT(TblSales[[#This Row],[Date]],"mmm")</f>
        <v>Apr</v>
      </c>
      <c r="Q4">
        <f>YEAR(TblSales[[#This Row],[Date]])</f>
        <v>2025</v>
      </c>
      <c r="S4" s="9"/>
    </row>
    <row r="5" spans="1:19">
      <c r="A5" t="s">
        <v>35</v>
      </c>
      <c r="B5" s="5" t="s">
        <v>36</v>
      </c>
      <c r="C5" t="s">
        <v>37</v>
      </c>
      <c r="D5" t="s">
        <v>17</v>
      </c>
      <c r="E5" t="s">
        <v>38</v>
      </c>
      <c r="F5" t="s">
        <v>39</v>
      </c>
      <c r="G5" t="s">
        <v>40</v>
      </c>
      <c r="H5" t="s">
        <v>29</v>
      </c>
      <c r="I5">
        <v>4</v>
      </c>
      <c r="J5">
        <v>40081</v>
      </c>
      <c r="K5">
        <v>0.02</v>
      </c>
      <c r="L5" s="9">
        <v>157117.51999999999</v>
      </c>
      <c r="M5" s="9">
        <v>125971.64</v>
      </c>
      <c r="N5" s="9">
        <v>31145.88</v>
      </c>
      <c r="O5">
        <f>MONTH(TblSales[[#This Row],[Date]])</f>
        <v>2</v>
      </c>
      <c r="P5" t="str">
        <f>TEXT(TblSales[[#This Row],[Date]],"mmm")</f>
        <v>Feb</v>
      </c>
      <c r="Q5">
        <f>YEAR(TblSales[[#This Row],[Date]])</f>
        <v>2025</v>
      </c>
    </row>
    <row r="6" spans="1:19">
      <c r="A6" t="s">
        <v>41</v>
      </c>
      <c r="B6" s="5" t="s">
        <v>42</v>
      </c>
      <c r="C6" t="s">
        <v>16</v>
      </c>
      <c r="D6" t="s">
        <v>25</v>
      </c>
      <c r="E6" t="s">
        <v>43</v>
      </c>
      <c r="F6" t="s">
        <v>44</v>
      </c>
      <c r="G6" t="s">
        <v>45</v>
      </c>
      <c r="H6" t="s">
        <v>34</v>
      </c>
      <c r="I6">
        <v>1</v>
      </c>
      <c r="J6">
        <v>24914</v>
      </c>
      <c r="K6">
        <v>0.06</v>
      </c>
      <c r="L6" s="9">
        <v>23419.16</v>
      </c>
      <c r="M6" s="9">
        <v>20772.84</v>
      </c>
      <c r="N6" s="9">
        <v>2646.32</v>
      </c>
      <c r="O6">
        <f>MONTH(TblSales[[#This Row],[Date]])</f>
        <v>9</v>
      </c>
      <c r="P6" t="str">
        <f>TEXT(TblSales[[#This Row],[Date]],"mmm")</f>
        <v>Sep</v>
      </c>
      <c r="Q6">
        <f>YEAR(TblSales[[#This Row],[Date]])</f>
        <v>2025</v>
      </c>
    </row>
    <row r="7" spans="1:19">
      <c r="A7" t="s">
        <v>46</v>
      </c>
      <c r="B7" s="5" t="s">
        <v>47</v>
      </c>
      <c r="C7" t="s">
        <v>16</v>
      </c>
      <c r="D7" t="s">
        <v>17</v>
      </c>
      <c r="E7" t="s">
        <v>48</v>
      </c>
      <c r="F7" t="s">
        <v>49</v>
      </c>
      <c r="G7" t="s">
        <v>45</v>
      </c>
      <c r="H7" t="s">
        <v>21</v>
      </c>
      <c r="I7">
        <v>5</v>
      </c>
      <c r="J7">
        <v>48252</v>
      </c>
      <c r="K7">
        <v>0.1</v>
      </c>
      <c r="L7" s="9">
        <v>217134</v>
      </c>
      <c r="M7" s="9">
        <v>176588.42</v>
      </c>
      <c r="N7" s="9">
        <v>40545.58</v>
      </c>
      <c r="O7">
        <f>MONTH(TblSales[[#This Row],[Date]])</f>
        <v>6</v>
      </c>
      <c r="P7" t="str">
        <f>TEXT(TblSales[[#This Row],[Date]],"mmm")</f>
        <v>Jun</v>
      </c>
      <c r="Q7">
        <f>YEAR(TblSales[[#This Row],[Date]])</f>
        <v>2025</v>
      </c>
      <c r="S7" s="9"/>
    </row>
    <row r="8" spans="1:19">
      <c r="A8" t="s">
        <v>50</v>
      </c>
      <c r="B8" s="5" t="s">
        <v>51</v>
      </c>
      <c r="C8" t="s">
        <v>52</v>
      </c>
      <c r="D8" t="s">
        <v>53</v>
      </c>
      <c r="E8" t="s">
        <v>54</v>
      </c>
      <c r="F8" t="s">
        <v>55</v>
      </c>
      <c r="G8" t="s">
        <v>33</v>
      </c>
      <c r="H8" t="s">
        <v>56</v>
      </c>
      <c r="I8">
        <v>4</v>
      </c>
      <c r="J8">
        <v>48263</v>
      </c>
      <c r="K8">
        <v>0.09</v>
      </c>
      <c r="L8" s="9">
        <v>175677.32</v>
      </c>
      <c r="M8" s="9">
        <v>143606.46</v>
      </c>
      <c r="N8" s="9">
        <v>32070.86</v>
      </c>
      <c r="O8">
        <f>MONTH(TblSales[[#This Row],[Date]])</f>
        <v>1</v>
      </c>
      <c r="P8" t="str">
        <f>TEXT(TblSales[[#This Row],[Date]],"mmm")</f>
        <v>Jan</v>
      </c>
      <c r="Q8">
        <f>YEAR(TblSales[[#This Row],[Date]])</f>
        <v>2025</v>
      </c>
    </row>
    <row r="9" spans="1:19">
      <c r="A9" t="s">
        <v>57</v>
      </c>
      <c r="B9" s="5" t="s">
        <v>58</v>
      </c>
      <c r="C9" t="s">
        <v>59</v>
      </c>
      <c r="D9" t="s">
        <v>60</v>
      </c>
      <c r="E9" t="s">
        <v>61</v>
      </c>
      <c r="F9" t="s">
        <v>62</v>
      </c>
      <c r="G9" t="s">
        <v>20</v>
      </c>
      <c r="H9" t="s">
        <v>56</v>
      </c>
      <c r="I9">
        <v>4</v>
      </c>
      <c r="J9">
        <v>34950</v>
      </c>
      <c r="K9">
        <v>0.1</v>
      </c>
      <c r="L9" s="9">
        <v>125820</v>
      </c>
      <c r="M9" s="9">
        <v>97561.96</v>
      </c>
      <c r="N9" s="9">
        <v>28258.04</v>
      </c>
      <c r="O9">
        <f>MONTH(TblSales[[#This Row],[Date]])</f>
        <v>1</v>
      </c>
      <c r="P9" t="str">
        <f>TEXT(TblSales[[#This Row],[Date]],"mmm")</f>
        <v>Jan</v>
      </c>
      <c r="Q9">
        <f>YEAR(TblSales[[#This Row],[Date]])</f>
        <v>2025</v>
      </c>
    </row>
    <row r="10" spans="1:19">
      <c r="A10" t="s">
        <v>63</v>
      </c>
      <c r="B10" s="5" t="s">
        <v>64</v>
      </c>
      <c r="C10" t="s">
        <v>52</v>
      </c>
      <c r="D10" t="s">
        <v>60</v>
      </c>
      <c r="E10" t="s">
        <v>65</v>
      </c>
      <c r="F10" t="s">
        <v>66</v>
      </c>
      <c r="G10" t="s">
        <v>67</v>
      </c>
      <c r="H10" t="s">
        <v>56</v>
      </c>
      <c r="I10">
        <v>4</v>
      </c>
      <c r="J10">
        <v>51240</v>
      </c>
      <c r="K10">
        <v>0.13</v>
      </c>
      <c r="L10" s="9">
        <v>178315.2</v>
      </c>
      <c r="M10" s="9">
        <v>125248.13</v>
      </c>
      <c r="N10" s="9">
        <v>53067.07</v>
      </c>
      <c r="O10">
        <f>MONTH(TblSales[[#This Row],[Date]])</f>
        <v>5</v>
      </c>
      <c r="P10" t="str">
        <f>TEXT(TblSales[[#This Row],[Date]],"mmm")</f>
        <v>May</v>
      </c>
      <c r="Q10">
        <f>YEAR(TblSales[[#This Row],[Date]])</f>
        <v>2025</v>
      </c>
    </row>
    <row r="11" spans="1:19">
      <c r="A11" t="s">
        <v>68</v>
      </c>
      <c r="B11" s="5" t="s">
        <v>69</v>
      </c>
      <c r="C11" t="s">
        <v>52</v>
      </c>
      <c r="D11" t="s">
        <v>25</v>
      </c>
      <c r="E11" t="s">
        <v>70</v>
      </c>
      <c r="F11" t="s">
        <v>71</v>
      </c>
      <c r="G11" t="s">
        <v>67</v>
      </c>
      <c r="H11" t="s">
        <v>29</v>
      </c>
      <c r="I11">
        <v>2</v>
      </c>
      <c r="J11">
        <v>19368</v>
      </c>
      <c r="K11">
        <v>0.04</v>
      </c>
      <c r="L11" s="9">
        <v>37186.559999999998</v>
      </c>
      <c r="M11" s="9">
        <v>27432.52</v>
      </c>
      <c r="N11" s="9">
        <v>9754.0400000000009</v>
      </c>
      <c r="O11">
        <f>MONTH(TblSales[[#This Row],[Date]])</f>
        <v>8</v>
      </c>
      <c r="P11" t="str">
        <f>TEXT(TblSales[[#This Row],[Date]],"mmm")</f>
        <v>Aug</v>
      </c>
      <c r="Q11">
        <f>YEAR(TblSales[[#This Row],[Date]])</f>
        <v>2025</v>
      </c>
    </row>
    <row r="12" spans="1:19">
      <c r="A12" t="s">
        <v>72</v>
      </c>
      <c r="B12" s="5" t="s">
        <v>73</v>
      </c>
      <c r="C12" t="s">
        <v>52</v>
      </c>
      <c r="D12" t="s">
        <v>17</v>
      </c>
      <c r="E12" t="s">
        <v>74</v>
      </c>
      <c r="F12" t="s">
        <v>75</v>
      </c>
      <c r="G12" t="s">
        <v>40</v>
      </c>
      <c r="H12" t="s">
        <v>21</v>
      </c>
      <c r="I12">
        <v>5</v>
      </c>
      <c r="J12">
        <v>3180</v>
      </c>
      <c r="K12">
        <v>0.13</v>
      </c>
      <c r="L12" s="9">
        <v>13833</v>
      </c>
      <c r="M12" s="9">
        <v>9960.5</v>
      </c>
      <c r="N12" s="9">
        <v>3872.5</v>
      </c>
      <c r="O12">
        <f>MONTH(TblSales[[#This Row],[Date]])</f>
        <v>4</v>
      </c>
      <c r="P12" t="str">
        <f>TEXT(TblSales[[#This Row],[Date]],"mmm")</f>
        <v>Apr</v>
      </c>
      <c r="Q12">
        <f>YEAR(TblSales[[#This Row],[Date]])</f>
        <v>2025</v>
      </c>
    </row>
    <row r="13" spans="1:19">
      <c r="A13" t="s">
        <v>76</v>
      </c>
      <c r="B13" s="5" t="s">
        <v>77</v>
      </c>
      <c r="C13" t="s">
        <v>37</v>
      </c>
      <c r="D13" t="s">
        <v>53</v>
      </c>
      <c r="E13" t="s">
        <v>54</v>
      </c>
      <c r="F13" t="s">
        <v>78</v>
      </c>
      <c r="G13" t="s">
        <v>33</v>
      </c>
      <c r="H13" t="s">
        <v>29</v>
      </c>
      <c r="I13">
        <v>3</v>
      </c>
      <c r="J13">
        <v>22021</v>
      </c>
      <c r="K13">
        <v>0.09</v>
      </c>
      <c r="L13" s="9">
        <v>60117.33</v>
      </c>
      <c r="M13" s="9">
        <v>43125.99</v>
      </c>
      <c r="N13" s="9">
        <v>16991.34</v>
      </c>
      <c r="O13">
        <f>MONTH(TblSales[[#This Row],[Date]])</f>
        <v>3</v>
      </c>
      <c r="P13" t="str">
        <f>TEXT(TblSales[[#This Row],[Date]],"mmm")</f>
        <v>Mar</v>
      </c>
      <c r="Q13">
        <f>YEAR(TblSales[[#This Row],[Date]])</f>
        <v>2025</v>
      </c>
    </row>
    <row r="14" spans="1:19">
      <c r="A14" t="s">
        <v>79</v>
      </c>
      <c r="B14" s="5" t="s">
        <v>80</v>
      </c>
      <c r="C14" t="s">
        <v>24</v>
      </c>
      <c r="D14" t="s">
        <v>25</v>
      </c>
      <c r="E14" t="s">
        <v>81</v>
      </c>
      <c r="F14" t="s">
        <v>82</v>
      </c>
      <c r="G14" t="s">
        <v>40</v>
      </c>
      <c r="H14" t="s">
        <v>34</v>
      </c>
      <c r="I14">
        <v>2</v>
      </c>
      <c r="J14">
        <v>42872</v>
      </c>
      <c r="K14">
        <v>0.1</v>
      </c>
      <c r="L14" s="9">
        <v>77169.600000000006</v>
      </c>
      <c r="M14" s="9">
        <v>61036.31</v>
      </c>
      <c r="N14" s="9">
        <v>16133.29</v>
      </c>
      <c r="O14">
        <f>MONTH(TblSales[[#This Row],[Date]])</f>
        <v>3</v>
      </c>
      <c r="P14" t="str">
        <f>TEXT(TblSales[[#This Row],[Date]],"mmm")</f>
        <v>Mar</v>
      </c>
      <c r="Q14">
        <f>YEAR(TblSales[[#This Row],[Date]])</f>
        <v>2025</v>
      </c>
    </row>
    <row r="15" spans="1:19">
      <c r="A15" t="s">
        <v>83</v>
      </c>
      <c r="B15" s="5" t="s">
        <v>84</v>
      </c>
      <c r="C15" t="s">
        <v>85</v>
      </c>
      <c r="D15" t="s">
        <v>17</v>
      </c>
      <c r="E15" t="s">
        <v>18</v>
      </c>
      <c r="F15" t="s">
        <v>86</v>
      </c>
      <c r="G15" t="s">
        <v>28</v>
      </c>
      <c r="H15" t="s">
        <v>21</v>
      </c>
      <c r="I15">
        <v>2</v>
      </c>
      <c r="J15">
        <v>18839</v>
      </c>
      <c r="K15">
        <v>0.11</v>
      </c>
      <c r="L15" s="9">
        <v>33533.42</v>
      </c>
      <c r="M15" s="9">
        <v>23484.7</v>
      </c>
      <c r="N15" s="9">
        <v>10048.719999999999</v>
      </c>
      <c r="O15">
        <f>MONTH(TblSales[[#This Row],[Date]])</f>
        <v>9</v>
      </c>
      <c r="P15" t="str">
        <f>TEXT(TblSales[[#This Row],[Date]],"mmm")</f>
        <v>Sep</v>
      </c>
      <c r="Q15">
        <f>YEAR(TblSales[[#This Row],[Date]])</f>
        <v>2025</v>
      </c>
    </row>
    <row r="16" spans="1:19">
      <c r="A16" t="s">
        <v>87</v>
      </c>
      <c r="B16" s="5" t="s">
        <v>88</v>
      </c>
      <c r="C16" t="s">
        <v>89</v>
      </c>
      <c r="D16" t="s">
        <v>60</v>
      </c>
      <c r="E16" t="s">
        <v>65</v>
      </c>
      <c r="F16" t="s">
        <v>90</v>
      </c>
      <c r="G16" t="s">
        <v>40</v>
      </c>
      <c r="H16" t="s">
        <v>29</v>
      </c>
      <c r="I16">
        <v>4</v>
      </c>
      <c r="J16">
        <v>59289</v>
      </c>
      <c r="K16">
        <v>0.14000000000000001</v>
      </c>
      <c r="L16" s="9">
        <v>203954.16</v>
      </c>
      <c r="M16" s="9">
        <v>169918.11</v>
      </c>
      <c r="N16" s="9">
        <v>34036.050000000003</v>
      </c>
      <c r="O16">
        <f>MONTH(TblSales[[#This Row],[Date]])</f>
        <v>7</v>
      </c>
      <c r="P16" t="str">
        <f>TEXT(TblSales[[#This Row],[Date]],"mmm")</f>
        <v>Jul</v>
      </c>
      <c r="Q16">
        <f>YEAR(TblSales[[#This Row],[Date]])</f>
        <v>2025</v>
      </c>
    </row>
    <row r="17" spans="1:17">
      <c r="A17" t="s">
        <v>91</v>
      </c>
      <c r="B17" s="5" t="s">
        <v>92</v>
      </c>
      <c r="C17" t="s">
        <v>89</v>
      </c>
      <c r="D17" t="s">
        <v>25</v>
      </c>
      <c r="E17" t="s">
        <v>81</v>
      </c>
      <c r="F17" t="s">
        <v>93</v>
      </c>
      <c r="G17" t="s">
        <v>28</v>
      </c>
      <c r="H17" t="s">
        <v>56</v>
      </c>
      <c r="I17">
        <v>3</v>
      </c>
      <c r="J17">
        <v>59330</v>
      </c>
      <c r="K17">
        <v>0.03</v>
      </c>
      <c r="L17" s="9">
        <v>172650.3</v>
      </c>
      <c r="M17" s="9">
        <v>145556.79999999999</v>
      </c>
      <c r="N17" s="9">
        <v>27093.5</v>
      </c>
      <c r="O17">
        <f>MONTH(TblSales[[#This Row],[Date]])</f>
        <v>3</v>
      </c>
      <c r="P17" t="str">
        <f>TEXT(TblSales[[#This Row],[Date]],"mmm")</f>
        <v>Mar</v>
      </c>
      <c r="Q17">
        <f>YEAR(TblSales[[#This Row],[Date]])</f>
        <v>2025</v>
      </c>
    </row>
    <row r="18" spans="1:17">
      <c r="A18" t="s">
        <v>94</v>
      </c>
      <c r="B18" s="5" t="s">
        <v>95</v>
      </c>
      <c r="C18" t="s">
        <v>85</v>
      </c>
      <c r="D18" t="s">
        <v>17</v>
      </c>
      <c r="E18" t="s">
        <v>38</v>
      </c>
      <c r="F18" t="s">
        <v>96</v>
      </c>
      <c r="G18" t="s">
        <v>33</v>
      </c>
      <c r="H18" t="s">
        <v>56</v>
      </c>
      <c r="I18">
        <v>1</v>
      </c>
      <c r="J18">
        <v>27435</v>
      </c>
      <c r="K18">
        <v>0.05</v>
      </c>
      <c r="L18" s="9">
        <v>26063.25</v>
      </c>
      <c r="M18" s="9">
        <v>22552.38</v>
      </c>
      <c r="N18" s="9">
        <v>3510.87</v>
      </c>
      <c r="O18">
        <f>MONTH(TblSales[[#This Row],[Date]])</f>
        <v>10</v>
      </c>
      <c r="P18" t="str">
        <f>TEXT(TblSales[[#This Row],[Date]],"mmm")</f>
        <v>Oct</v>
      </c>
      <c r="Q18">
        <f>YEAR(TblSales[[#This Row],[Date]])</f>
        <v>2025</v>
      </c>
    </row>
    <row r="19" spans="1:17">
      <c r="A19" t="s">
        <v>97</v>
      </c>
      <c r="B19" s="5" t="s">
        <v>77</v>
      </c>
      <c r="C19" t="s">
        <v>98</v>
      </c>
      <c r="D19" t="s">
        <v>25</v>
      </c>
      <c r="E19" t="s">
        <v>26</v>
      </c>
      <c r="F19" t="s">
        <v>99</v>
      </c>
      <c r="G19" t="s">
        <v>45</v>
      </c>
      <c r="H19" t="s">
        <v>29</v>
      </c>
      <c r="I19">
        <v>5</v>
      </c>
      <c r="J19">
        <v>36424</v>
      </c>
      <c r="K19">
        <v>0.06</v>
      </c>
      <c r="L19" s="9">
        <v>171192.8</v>
      </c>
      <c r="M19" s="9">
        <v>145310.29999999999</v>
      </c>
      <c r="N19" s="9">
        <v>25882.5</v>
      </c>
      <c r="O19">
        <f>MONTH(TblSales[[#This Row],[Date]])</f>
        <v>3</v>
      </c>
      <c r="P19" t="str">
        <f>TEXT(TblSales[[#This Row],[Date]],"mmm")</f>
        <v>Mar</v>
      </c>
      <c r="Q19">
        <f>YEAR(TblSales[[#This Row],[Date]])</f>
        <v>2025</v>
      </c>
    </row>
    <row r="20" spans="1:17">
      <c r="A20" t="s">
        <v>100</v>
      </c>
      <c r="B20" s="5" t="s">
        <v>101</v>
      </c>
      <c r="C20" t="s">
        <v>24</v>
      </c>
      <c r="D20" t="s">
        <v>60</v>
      </c>
      <c r="E20" t="s">
        <v>102</v>
      </c>
      <c r="F20" t="s">
        <v>103</v>
      </c>
      <c r="G20" t="s">
        <v>67</v>
      </c>
      <c r="H20" t="s">
        <v>29</v>
      </c>
      <c r="I20">
        <v>4</v>
      </c>
      <c r="J20">
        <v>59360</v>
      </c>
      <c r="K20">
        <v>0.08</v>
      </c>
      <c r="L20" s="9">
        <v>218444.79999999999</v>
      </c>
      <c r="M20" s="9">
        <v>185795.89</v>
      </c>
      <c r="N20" s="9">
        <v>32648.91</v>
      </c>
      <c r="O20">
        <f>MONTH(TblSales[[#This Row],[Date]])</f>
        <v>7</v>
      </c>
      <c r="P20" t="str">
        <f>TEXT(TblSales[[#This Row],[Date]],"mmm")</f>
        <v>Jul</v>
      </c>
      <c r="Q20">
        <f>YEAR(TblSales[[#This Row],[Date]])</f>
        <v>2025</v>
      </c>
    </row>
    <row r="21" spans="1:17">
      <c r="A21" t="s">
        <v>104</v>
      </c>
      <c r="B21" s="5" t="s">
        <v>105</v>
      </c>
      <c r="C21" t="s">
        <v>24</v>
      </c>
      <c r="D21" t="s">
        <v>60</v>
      </c>
      <c r="E21" t="s">
        <v>106</v>
      </c>
      <c r="F21" t="s">
        <v>107</v>
      </c>
      <c r="G21" t="s">
        <v>108</v>
      </c>
      <c r="H21" t="s">
        <v>21</v>
      </c>
      <c r="I21">
        <v>3</v>
      </c>
      <c r="J21">
        <v>24674</v>
      </c>
      <c r="K21">
        <v>0.08</v>
      </c>
      <c r="L21" s="9">
        <v>68100.240000000005</v>
      </c>
      <c r="M21" s="9">
        <v>54373.440000000002</v>
      </c>
      <c r="N21" s="9">
        <v>13726.8</v>
      </c>
      <c r="O21">
        <f>MONTH(TblSales[[#This Row],[Date]])</f>
        <v>4</v>
      </c>
      <c r="P21" t="str">
        <f>TEXT(TblSales[[#This Row],[Date]],"mmm")</f>
        <v>Apr</v>
      </c>
      <c r="Q21">
        <f>YEAR(TblSales[[#This Row],[Date]])</f>
        <v>2025</v>
      </c>
    </row>
    <row r="22" spans="1:17">
      <c r="A22" t="s">
        <v>109</v>
      </c>
      <c r="B22" s="5" t="s">
        <v>110</v>
      </c>
      <c r="C22" t="s">
        <v>37</v>
      </c>
      <c r="D22" t="s">
        <v>17</v>
      </c>
      <c r="E22" t="s">
        <v>38</v>
      </c>
      <c r="F22" t="s">
        <v>96</v>
      </c>
      <c r="G22" t="s">
        <v>20</v>
      </c>
      <c r="H22" t="s">
        <v>29</v>
      </c>
      <c r="I22">
        <v>1</v>
      </c>
      <c r="J22">
        <v>47375</v>
      </c>
      <c r="K22">
        <v>0.05</v>
      </c>
      <c r="L22" s="9">
        <v>45006.25</v>
      </c>
      <c r="M22" s="9">
        <v>31523.27</v>
      </c>
      <c r="N22" s="9">
        <v>13482.98</v>
      </c>
      <c r="O22">
        <f>MONTH(TblSales[[#This Row],[Date]])</f>
        <v>10</v>
      </c>
      <c r="P22" t="str">
        <f>TEXT(TblSales[[#This Row],[Date]],"mmm")</f>
        <v>Oct</v>
      </c>
      <c r="Q22">
        <f>YEAR(TblSales[[#This Row],[Date]])</f>
        <v>2025</v>
      </c>
    </row>
    <row r="23" spans="1:17">
      <c r="A23" t="s">
        <v>111</v>
      </c>
      <c r="B23" s="5" t="s">
        <v>112</v>
      </c>
      <c r="C23" t="s">
        <v>113</v>
      </c>
      <c r="D23" t="s">
        <v>17</v>
      </c>
      <c r="E23" t="s">
        <v>38</v>
      </c>
      <c r="F23" t="s">
        <v>114</v>
      </c>
      <c r="G23" t="s">
        <v>108</v>
      </c>
      <c r="H23" t="s">
        <v>29</v>
      </c>
      <c r="I23">
        <v>2</v>
      </c>
      <c r="J23">
        <v>53219</v>
      </c>
      <c r="K23">
        <v>7.0000000000000007E-2</v>
      </c>
      <c r="L23" s="9">
        <v>98987.34</v>
      </c>
      <c r="M23" s="9">
        <v>77119.259999999995</v>
      </c>
      <c r="N23" s="9">
        <v>21868.080000000002</v>
      </c>
      <c r="O23">
        <f>MONTH(TblSales[[#This Row],[Date]])</f>
        <v>5</v>
      </c>
      <c r="P23" t="str">
        <f>TEXT(TblSales[[#This Row],[Date]],"mmm")</f>
        <v>May</v>
      </c>
      <c r="Q23">
        <f>YEAR(TblSales[[#This Row],[Date]])</f>
        <v>2025</v>
      </c>
    </row>
    <row r="24" spans="1:17">
      <c r="A24" t="s">
        <v>115</v>
      </c>
      <c r="B24" s="5" t="s">
        <v>51</v>
      </c>
      <c r="C24" t="s">
        <v>59</v>
      </c>
      <c r="D24" t="s">
        <v>53</v>
      </c>
      <c r="E24" t="s">
        <v>54</v>
      </c>
      <c r="F24" t="s">
        <v>116</v>
      </c>
      <c r="G24" t="s">
        <v>33</v>
      </c>
      <c r="H24" t="s">
        <v>21</v>
      </c>
      <c r="I24">
        <v>3</v>
      </c>
      <c r="J24">
        <v>29706</v>
      </c>
      <c r="K24">
        <v>0.05</v>
      </c>
      <c r="L24" s="9">
        <v>84662.1</v>
      </c>
      <c r="M24" s="9">
        <v>61193.48</v>
      </c>
      <c r="N24" s="9">
        <v>23468.62</v>
      </c>
      <c r="O24">
        <f>MONTH(TblSales[[#This Row],[Date]])</f>
        <v>1</v>
      </c>
      <c r="P24" t="str">
        <f>TEXT(TblSales[[#This Row],[Date]],"mmm")</f>
        <v>Jan</v>
      </c>
      <c r="Q24">
        <f>YEAR(TblSales[[#This Row],[Date]])</f>
        <v>2025</v>
      </c>
    </row>
    <row r="25" spans="1:17">
      <c r="A25" t="s">
        <v>117</v>
      </c>
      <c r="B25" s="5" t="s">
        <v>118</v>
      </c>
      <c r="C25" t="s">
        <v>85</v>
      </c>
      <c r="D25" t="s">
        <v>60</v>
      </c>
      <c r="E25" t="s">
        <v>65</v>
      </c>
      <c r="F25" t="s">
        <v>90</v>
      </c>
      <c r="G25" t="s">
        <v>119</v>
      </c>
      <c r="H25" t="s">
        <v>34</v>
      </c>
      <c r="I25">
        <v>5</v>
      </c>
      <c r="J25">
        <v>29939</v>
      </c>
      <c r="K25">
        <v>0.14000000000000001</v>
      </c>
      <c r="L25" s="9">
        <v>128737.7</v>
      </c>
      <c r="M25" s="9">
        <v>98237.55</v>
      </c>
      <c r="N25" s="9">
        <v>30500.15</v>
      </c>
      <c r="O25">
        <f>MONTH(TblSales[[#This Row],[Date]])</f>
        <v>10</v>
      </c>
      <c r="P25" t="str">
        <f>TEXT(TblSales[[#This Row],[Date]],"mmm")</f>
        <v>Oct</v>
      </c>
      <c r="Q25">
        <f>YEAR(TblSales[[#This Row],[Date]])</f>
        <v>2025</v>
      </c>
    </row>
    <row r="26" spans="1:17">
      <c r="A26" t="s">
        <v>120</v>
      </c>
      <c r="B26" s="5" t="s">
        <v>121</v>
      </c>
      <c r="C26" t="s">
        <v>52</v>
      </c>
      <c r="D26" t="s">
        <v>17</v>
      </c>
      <c r="E26" t="s">
        <v>48</v>
      </c>
      <c r="F26" t="s">
        <v>49</v>
      </c>
      <c r="G26" t="s">
        <v>67</v>
      </c>
      <c r="H26" t="s">
        <v>56</v>
      </c>
      <c r="I26">
        <v>2</v>
      </c>
      <c r="J26">
        <v>40625</v>
      </c>
      <c r="K26">
        <v>0.04</v>
      </c>
      <c r="L26" s="9">
        <v>78000</v>
      </c>
      <c r="M26" s="9">
        <v>59099.31</v>
      </c>
      <c r="N26" s="9">
        <v>18900.689999999999</v>
      </c>
      <c r="O26">
        <f>MONTH(TblSales[[#This Row],[Date]])</f>
        <v>9</v>
      </c>
      <c r="P26" t="str">
        <f>TEXT(TblSales[[#This Row],[Date]],"mmm")</f>
        <v>Sep</v>
      </c>
      <c r="Q26">
        <f>YEAR(TblSales[[#This Row],[Date]])</f>
        <v>2025</v>
      </c>
    </row>
    <row r="27" spans="1:17">
      <c r="A27" t="s">
        <v>122</v>
      </c>
      <c r="B27" s="5" t="s">
        <v>123</v>
      </c>
      <c r="C27" t="s">
        <v>59</v>
      </c>
      <c r="D27" t="s">
        <v>25</v>
      </c>
      <c r="E27" t="s">
        <v>43</v>
      </c>
      <c r="F27" t="s">
        <v>124</v>
      </c>
      <c r="G27" t="s">
        <v>67</v>
      </c>
      <c r="H27" t="s">
        <v>29</v>
      </c>
      <c r="I27">
        <v>2</v>
      </c>
      <c r="J27">
        <v>1196</v>
      </c>
      <c r="K27">
        <v>0.1</v>
      </c>
      <c r="L27" s="9">
        <v>2152.8000000000002</v>
      </c>
      <c r="M27" s="9">
        <v>1896.61</v>
      </c>
      <c r="N27" s="9">
        <v>256.19</v>
      </c>
      <c r="O27">
        <f>MONTH(TblSales[[#This Row],[Date]])</f>
        <v>7</v>
      </c>
      <c r="P27" t="str">
        <f>TEXT(TblSales[[#This Row],[Date]],"mmm")</f>
        <v>Jul</v>
      </c>
      <c r="Q27">
        <f>YEAR(TblSales[[#This Row],[Date]])</f>
        <v>2025</v>
      </c>
    </row>
    <row r="28" spans="1:17">
      <c r="A28" t="s">
        <v>125</v>
      </c>
      <c r="B28" s="5" t="s">
        <v>126</v>
      </c>
      <c r="C28" t="s">
        <v>32</v>
      </c>
      <c r="D28" t="s">
        <v>53</v>
      </c>
      <c r="E28" t="s">
        <v>127</v>
      </c>
      <c r="F28" t="s">
        <v>128</v>
      </c>
      <c r="G28" t="s">
        <v>28</v>
      </c>
      <c r="H28" t="s">
        <v>34</v>
      </c>
      <c r="I28">
        <v>5</v>
      </c>
      <c r="J28">
        <v>7291</v>
      </c>
      <c r="K28">
        <v>0.12</v>
      </c>
      <c r="L28" s="9">
        <v>32080.400000000001</v>
      </c>
      <c r="M28" s="9">
        <v>28564.59</v>
      </c>
      <c r="N28" s="9">
        <v>3515.81</v>
      </c>
      <c r="O28">
        <f>MONTH(TblSales[[#This Row],[Date]])</f>
        <v>7</v>
      </c>
      <c r="P28" t="str">
        <f>TEXT(TblSales[[#This Row],[Date]],"mmm")</f>
        <v>Jul</v>
      </c>
      <c r="Q28">
        <f>YEAR(TblSales[[#This Row],[Date]])</f>
        <v>2025</v>
      </c>
    </row>
    <row r="29" spans="1:17">
      <c r="A29" t="s">
        <v>129</v>
      </c>
      <c r="B29" s="5" t="s">
        <v>130</v>
      </c>
      <c r="C29" t="s">
        <v>98</v>
      </c>
      <c r="D29" t="s">
        <v>53</v>
      </c>
      <c r="E29" t="s">
        <v>127</v>
      </c>
      <c r="F29" t="s">
        <v>131</v>
      </c>
      <c r="G29" t="s">
        <v>67</v>
      </c>
      <c r="H29" t="s">
        <v>21</v>
      </c>
      <c r="I29">
        <v>5</v>
      </c>
      <c r="J29">
        <v>50874</v>
      </c>
      <c r="K29">
        <v>0.06</v>
      </c>
      <c r="L29" s="9">
        <v>239107.8</v>
      </c>
      <c r="M29" s="9">
        <v>191798.54</v>
      </c>
      <c r="N29" s="9">
        <v>47309.26</v>
      </c>
      <c r="O29">
        <f>MONTH(TblSales[[#This Row],[Date]])</f>
        <v>8</v>
      </c>
      <c r="P29" t="str">
        <f>TEXT(TblSales[[#This Row],[Date]],"mmm")</f>
        <v>Aug</v>
      </c>
      <c r="Q29">
        <f>YEAR(TblSales[[#This Row],[Date]])</f>
        <v>2025</v>
      </c>
    </row>
    <row r="30" spans="1:17">
      <c r="A30" t="s">
        <v>132</v>
      </c>
      <c r="B30" s="5" t="s">
        <v>133</v>
      </c>
      <c r="C30" t="s">
        <v>16</v>
      </c>
      <c r="D30" t="s">
        <v>60</v>
      </c>
      <c r="E30" t="s">
        <v>65</v>
      </c>
      <c r="F30" t="s">
        <v>134</v>
      </c>
      <c r="G30" t="s">
        <v>108</v>
      </c>
      <c r="H30" t="s">
        <v>56</v>
      </c>
      <c r="I30">
        <v>5</v>
      </c>
      <c r="J30">
        <v>54802</v>
      </c>
      <c r="K30">
        <v>0.06</v>
      </c>
      <c r="L30" s="9">
        <v>257569.4</v>
      </c>
      <c r="M30" s="9">
        <v>208532.06</v>
      </c>
      <c r="N30" s="9">
        <v>49037.34</v>
      </c>
      <c r="O30">
        <f>MONTH(TblSales[[#This Row],[Date]])</f>
        <v>6</v>
      </c>
      <c r="P30" t="str">
        <f>TEXT(TblSales[[#This Row],[Date]],"mmm")</f>
        <v>Jun</v>
      </c>
      <c r="Q30">
        <f>YEAR(TblSales[[#This Row],[Date]])</f>
        <v>2025</v>
      </c>
    </row>
    <row r="31" spans="1:17">
      <c r="A31" t="s">
        <v>135</v>
      </c>
      <c r="B31" s="5" t="s">
        <v>136</v>
      </c>
      <c r="C31" t="s">
        <v>37</v>
      </c>
      <c r="D31" t="s">
        <v>53</v>
      </c>
      <c r="E31" t="s">
        <v>127</v>
      </c>
      <c r="F31" t="s">
        <v>137</v>
      </c>
      <c r="G31" t="s">
        <v>33</v>
      </c>
      <c r="H31" t="s">
        <v>21</v>
      </c>
      <c r="I31">
        <v>3</v>
      </c>
      <c r="J31">
        <v>36700</v>
      </c>
      <c r="K31">
        <v>0.12</v>
      </c>
      <c r="L31" s="9">
        <v>96888</v>
      </c>
      <c r="M31" s="9">
        <v>74390.59</v>
      </c>
      <c r="N31" s="9">
        <v>22497.41</v>
      </c>
      <c r="O31">
        <f>MONTH(TblSales[[#This Row],[Date]])</f>
        <v>10</v>
      </c>
      <c r="P31" t="str">
        <f>TEXT(TblSales[[#This Row],[Date]],"mmm")</f>
        <v>Oct</v>
      </c>
      <c r="Q31">
        <f>YEAR(TblSales[[#This Row],[Date]])</f>
        <v>2025</v>
      </c>
    </row>
    <row r="32" spans="1:17">
      <c r="A32" t="s">
        <v>138</v>
      </c>
      <c r="B32" s="5" t="s">
        <v>139</v>
      </c>
      <c r="C32" t="s">
        <v>89</v>
      </c>
      <c r="D32" t="s">
        <v>53</v>
      </c>
      <c r="E32" t="s">
        <v>140</v>
      </c>
      <c r="F32" t="s">
        <v>141</v>
      </c>
      <c r="G32" t="s">
        <v>28</v>
      </c>
      <c r="H32" t="s">
        <v>34</v>
      </c>
      <c r="I32">
        <v>3</v>
      </c>
      <c r="J32">
        <v>31500</v>
      </c>
      <c r="K32">
        <v>0.06</v>
      </c>
      <c r="L32" s="9">
        <v>88830</v>
      </c>
      <c r="M32" s="9">
        <v>64538.62</v>
      </c>
      <c r="N32" s="9">
        <v>24291.38</v>
      </c>
      <c r="O32">
        <f>MONTH(TblSales[[#This Row],[Date]])</f>
        <v>3</v>
      </c>
      <c r="P32" t="str">
        <f>TEXT(TblSales[[#This Row],[Date]],"mmm")</f>
        <v>Mar</v>
      </c>
      <c r="Q32">
        <f>YEAR(TblSales[[#This Row],[Date]])</f>
        <v>2025</v>
      </c>
    </row>
    <row r="33" spans="1:17">
      <c r="A33" t="s">
        <v>142</v>
      </c>
      <c r="B33" s="5" t="s">
        <v>143</v>
      </c>
      <c r="C33" t="s">
        <v>24</v>
      </c>
      <c r="D33" t="s">
        <v>25</v>
      </c>
      <c r="E33" t="s">
        <v>26</v>
      </c>
      <c r="F33" t="s">
        <v>27</v>
      </c>
      <c r="G33" t="s">
        <v>20</v>
      </c>
      <c r="H33" t="s">
        <v>34</v>
      </c>
      <c r="I33">
        <v>3</v>
      </c>
      <c r="J33">
        <v>43706</v>
      </c>
      <c r="K33">
        <v>0.11</v>
      </c>
      <c r="L33" s="9">
        <v>116695.02</v>
      </c>
      <c r="M33" s="9">
        <v>82281.210000000006</v>
      </c>
      <c r="N33" s="9">
        <v>34413.81</v>
      </c>
      <c r="O33">
        <f>MONTH(TblSales[[#This Row],[Date]])</f>
        <v>5</v>
      </c>
      <c r="P33" t="str">
        <f>TEXT(TblSales[[#This Row],[Date]],"mmm")</f>
        <v>May</v>
      </c>
      <c r="Q33">
        <f>YEAR(TblSales[[#This Row],[Date]])</f>
        <v>2025</v>
      </c>
    </row>
    <row r="34" spans="1:17">
      <c r="A34" t="s">
        <v>144</v>
      </c>
      <c r="B34" s="5" t="s">
        <v>145</v>
      </c>
      <c r="C34" t="s">
        <v>85</v>
      </c>
      <c r="D34" t="s">
        <v>53</v>
      </c>
      <c r="E34" t="s">
        <v>140</v>
      </c>
      <c r="F34" t="s">
        <v>141</v>
      </c>
      <c r="G34" t="s">
        <v>45</v>
      </c>
      <c r="H34" t="s">
        <v>34</v>
      </c>
      <c r="I34">
        <v>5</v>
      </c>
      <c r="J34">
        <v>51402</v>
      </c>
      <c r="K34">
        <v>0.11</v>
      </c>
      <c r="L34" s="9">
        <v>228738.9</v>
      </c>
      <c r="M34" s="9">
        <v>194315.7</v>
      </c>
      <c r="N34" s="9">
        <v>34423.199999999997</v>
      </c>
      <c r="O34">
        <f>MONTH(TblSales[[#This Row],[Date]])</f>
        <v>9</v>
      </c>
      <c r="P34" t="str">
        <f>TEXT(TblSales[[#This Row],[Date]],"mmm")</f>
        <v>Sep</v>
      </c>
      <c r="Q34">
        <f>YEAR(TblSales[[#This Row],[Date]])</f>
        <v>2025</v>
      </c>
    </row>
    <row r="35" spans="1:17">
      <c r="A35" t="s">
        <v>146</v>
      </c>
      <c r="B35" s="5" t="s">
        <v>147</v>
      </c>
      <c r="C35" t="s">
        <v>32</v>
      </c>
      <c r="D35" t="s">
        <v>53</v>
      </c>
      <c r="E35" t="s">
        <v>148</v>
      </c>
      <c r="F35" t="s">
        <v>149</v>
      </c>
      <c r="G35" t="s">
        <v>67</v>
      </c>
      <c r="H35" t="s">
        <v>56</v>
      </c>
      <c r="I35">
        <v>1</v>
      </c>
      <c r="J35">
        <v>44710</v>
      </c>
      <c r="K35">
        <v>0.14000000000000001</v>
      </c>
      <c r="L35" s="9">
        <v>38450.6</v>
      </c>
      <c r="M35" s="9">
        <v>28240.799999999999</v>
      </c>
      <c r="N35" s="9">
        <v>10209.799999999999</v>
      </c>
      <c r="O35">
        <f>MONTH(TblSales[[#This Row],[Date]])</f>
        <v>8</v>
      </c>
      <c r="P35" t="str">
        <f>TEXT(TblSales[[#This Row],[Date]],"mmm")</f>
        <v>Aug</v>
      </c>
      <c r="Q35">
        <f>YEAR(TblSales[[#This Row],[Date]])</f>
        <v>2025</v>
      </c>
    </row>
    <row r="36" spans="1:17">
      <c r="A36" t="s">
        <v>150</v>
      </c>
      <c r="B36" s="5" t="s">
        <v>151</v>
      </c>
      <c r="C36" t="s">
        <v>98</v>
      </c>
      <c r="D36" t="s">
        <v>17</v>
      </c>
      <c r="E36" t="s">
        <v>18</v>
      </c>
      <c r="F36" t="s">
        <v>86</v>
      </c>
      <c r="G36" t="s">
        <v>108</v>
      </c>
      <c r="H36" t="s">
        <v>34</v>
      </c>
      <c r="I36">
        <v>5</v>
      </c>
      <c r="J36">
        <v>29803</v>
      </c>
      <c r="K36">
        <v>0.09</v>
      </c>
      <c r="L36" s="9">
        <v>135603.65</v>
      </c>
      <c r="M36" s="9">
        <v>110881.63</v>
      </c>
      <c r="N36" s="9">
        <v>24722.02</v>
      </c>
      <c r="O36">
        <f>MONTH(TblSales[[#This Row],[Date]])</f>
        <v>1</v>
      </c>
      <c r="P36" t="str">
        <f>TEXT(TblSales[[#This Row],[Date]],"mmm")</f>
        <v>Jan</v>
      </c>
      <c r="Q36">
        <f>YEAR(TblSales[[#This Row],[Date]])</f>
        <v>2025</v>
      </c>
    </row>
    <row r="37" spans="1:17">
      <c r="A37" t="s">
        <v>152</v>
      </c>
      <c r="B37" s="5" t="s">
        <v>153</v>
      </c>
      <c r="C37" t="s">
        <v>32</v>
      </c>
      <c r="D37" t="s">
        <v>60</v>
      </c>
      <c r="E37" t="s">
        <v>61</v>
      </c>
      <c r="F37" t="s">
        <v>154</v>
      </c>
      <c r="G37" t="s">
        <v>108</v>
      </c>
      <c r="H37" t="s">
        <v>29</v>
      </c>
      <c r="I37">
        <v>3</v>
      </c>
      <c r="J37">
        <v>21924</v>
      </c>
      <c r="K37">
        <v>0.13</v>
      </c>
      <c r="L37" s="9">
        <v>57221.64</v>
      </c>
      <c r="M37" s="9">
        <v>40182.93</v>
      </c>
      <c r="N37" s="9">
        <v>17038.71</v>
      </c>
      <c r="O37">
        <f>MONTH(TblSales[[#This Row],[Date]])</f>
        <v>5</v>
      </c>
      <c r="P37" t="str">
        <f>TEXT(TblSales[[#This Row],[Date]],"mmm")</f>
        <v>May</v>
      </c>
      <c r="Q37">
        <f>YEAR(TblSales[[#This Row],[Date]])</f>
        <v>2025</v>
      </c>
    </row>
    <row r="38" spans="1:17">
      <c r="A38" t="s">
        <v>155</v>
      </c>
      <c r="B38" s="5" t="s">
        <v>156</v>
      </c>
      <c r="C38" t="s">
        <v>37</v>
      </c>
      <c r="D38" t="s">
        <v>60</v>
      </c>
      <c r="E38" t="s">
        <v>106</v>
      </c>
      <c r="F38" t="s">
        <v>107</v>
      </c>
      <c r="G38" t="s">
        <v>33</v>
      </c>
      <c r="H38" t="s">
        <v>34</v>
      </c>
      <c r="I38">
        <v>2</v>
      </c>
      <c r="J38">
        <v>43826</v>
      </c>
      <c r="K38">
        <v>0.06</v>
      </c>
      <c r="L38" s="9">
        <v>82392.88</v>
      </c>
      <c r="M38" s="9">
        <v>69783.92</v>
      </c>
      <c r="N38" s="9">
        <v>12608.96</v>
      </c>
      <c r="O38">
        <f>MONTH(TblSales[[#This Row],[Date]])</f>
        <v>6</v>
      </c>
      <c r="P38" t="str">
        <f>TEXT(TblSales[[#This Row],[Date]],"mmm")</f>
        <v>Jun</v>
      </c>
      <c r="Q38">
        <f>YEAR(TblSales[[#This Row],[Date]])</f>
        <v>2025</v>
      </c>
    </row>
    <row r="39" spans="1:17">
      <c r="A39" t="s">
        <v>157</v>
      </c>
      <c r="B39" s="5" t="s">
        <v>158</v>
      </c>
      <c r="C39" t="s">
        <v>24</v>
      </c>
      <c r="D39" t="s">
        <v>25</v>
      </c>
      <c r="E39" t="s">
        <v>43</v>
      </c>
      <c r="F39" t="s">
        <v>159</v>
      </c>
      <c r="G39" t="s">
        <v>119</v>
      </c>
      <c r="H39" t="s">
        <v>34</v>
      </c>
      <c r="I39">
        <v>2</v>
      </c>
      <c r="J39">
        <v>24311</v>
      </c>
      <c r="K39">
        <v>0.03</v>
      </c>
      <c r="L39" s="9">
        <v>47163.34</v>
      </c>
      <c r="M39" s="9">
        <v>33137.47</v>
      </c>
      <c r="N39" s="9">
        <v>14025.87</v>
      </c>
      <c r="O39">
        <f>MONTH(TblSales[[#This Row],[Date]])</f>
        <v>4</v>
      </c>
      <c r="P39" t="str">
        <f>TEXT(TblSales[[#This Row],[Date]],"mmm")</f>
        <v>Apr</v>
      </c>
      <c r="Q39">
        <f>YEAR(TblSales[[#This Row],[Date]])</f>
        <v>2025</v>
      </c>
    </row>
    <row r="40" spans="1:17">
      <c r="A40" t="s">
        <v>160</v>
      </c>
      <c r="B40" s="5" t="s">
        <v>161</v>
      </c>
      <c r="C40" t="s">
        <v>85</v>
      </c>
      <c r="D40" t="s">
        <v>17</v>
      </c>
      <c r="E40" t="s">
        <v>48</v>
      </c>
      <c r="F40" t="s">
        <v>162</v>
      </c>
      <c r="G40" t="s">
        <v>28</v>
      </c>
      <c r="H40" t="s">
        <v>21</v>
      </c>
      <c r="I40">
        <v>1</v>
      </c>
      <c r="J40">
        <v>56336</v>
      </c>
      <c r="K40">
        <v>0.14000000000000001</v>
      </c>
      <c r="L40" s="9">
        <v>48448.959999999999</v>
      </c>
      <c r="M40" s="9">
        <v>41933.97</v>
      </c>
      <c r="N40" s="9">
        <v>6514.99</v>
      </c>
      <c r="O40">
        <f>MONTH(TblSales[[#This Row],[Date]])</f>
        <v>3</v>
      </c>
      <c r="P40" t="str">
        <f>TEXT(TblSales[[#This Row],[Date]],"mmm")</f>
        <v>Mar</v>
      </c>
      <c r="Q40">
        <f>YEAR(TblSales[[#This Row],[Date]])</f>
        <v>2025</v>
      </c>
    </row>
    <row r="41" spans="1:17">
      <c r="A41" t="s">
        <v>163</v>
      </c>
      <c r="B41" s="5" t="s">
        <v>164</v>
      </c>
      <c r="C41" t="s">
        <v>16</v>
      </c>
      <c r="D41" t="s">
        <v>53</v>
      </c>
      <c r="E41" t="s">
        <v>140</v>
      </c>
      <c r="F41" t="s">
        <v>165</v>
      </c>
      <c r="G41" t="s">
        <v>108</v>
      </c>
      <c r="H41" t="s">
        <v>56</v>
      </c>
      <c r="I41">
        <v>2</v>
      </c>
      <c r="J41">
        <v>15521</v>
      </c>
      <c r="K41">
        <v>0.14000000000000001</v>
      </c>
      <c r="L41" s="9">
        <v>26696.12</v>
      </c>
      <c r="M41" s="9">
        <v>23968.25</v>
      </c>
      <c r="N41" s="9">
        <v>2727.87</v>
      </c>
      <c r="O41">
        <f>MONTH(TblSales[[#This Row],[Date]])</f>
        <v>4</v>
      </c>
      <c r="P41" t="str">
        <f>TEXT(TblSales[[#This Row],[Date]],"mmm")</f>
        <v>Apr</v>
      </c>
      <c r="Q41">
        <f>YEAR(TblSales[[#This Row],[Date]])</f>
        <v>2025</v>
      </c>
    </row>
    <row r="42" spans="1:17">
      <c r="A42" t="s">
        <v>166</v>
      </c>
      <c r="B42" s="5" t="s">
        <v>167</v>
      </c>
      <c r="C42" t="s">
        <v>59</v>
      </c>
      <c r="D42" t="s">
        <v>25</v>
      </c>
      <c r="E42" t="s">
        <v>70</v>
      </c>
      <c r="F42" t="s">
        <v>71</v>
      </c>
      <c r="G42" t="s">
        <v>67</v>
      </c>
      <c r="H42" t="s">
        <v>34</v>
      </c>
      <c r="I42">
        <v>1</v>
      </c>
      <c r="J42">
        <v>36030</v>
      </c>
      <c r="K42">
        <v>0.09</v>
      </c>
      <c r="L42" s="9">
        <v>32787.300000000003</v>
      </c>
      <c r="M42" s="9">
        <v>22985.85</v>
      </c>
      <c r="N42" s="9">
        <v>9801.4500000000007</v>
      </c>
      <c r="O42">
        <f>MONTH(TblSales[[#This Row],[Date]])</f>
        <v>4</v>
      </c>
      <c r="P42" t="str">
        <f>TEXT(TblSales[[#This Row],[Date]],"mmm")</f>
        <v>Apr</v>
      </c>
      <c r="Q42">
        <f>YEAR(TblSales[[#This Row],[Date]])</f>
        <v>2025</v>
      </c>
    </row>
    <row r="43" spans="1:17">
      <c r="A43" t="s">
        <v>168</v>
      </c>
      <c r="B43" s="5" t="s">
        <v>169</v>
      </c>
      <c r="C43" t="s">
        <v>98</v>
      </c>
      <c r="D43" t="s">
        <v>17</v>
      </c>
      <c r="E43" t="s">
        <v>74</v>
      </c>
      <c r="F43" t="s">
        <v>75</v>
      </c>
      <c r="G43" t="s">
        <v>33</v>
      </c>
      <c r="H43" t="s">
        <v>21</v>
      </c>
      <c r="I43">
        <v>5</v>
      </c>
      <c r="J43">
        <v>50759</v>
      </c>
      <c r="K43">
        <v>0.03</v>
      </c>
      <c r="L43" s="9">
        <v>246181.15</v>
      </c>
      <c r="M43" s="9">
        <v>208303.4</v>
      </c>
      <c r="N43" s="9">
        <v>37877.75</v>
      </c>
      <c r="O43">
        <f>MONTH(TblSales[[#This Row],[Date]])</f>
        <v>5</v>
      </c>
      <c r="P43" t="str">
        <f>TEXT(TblSales[[#This Row],[Date]],"mmm")</f>
        <v>May</v>
      </c>
      <c r="Q43">
        <f>YEAR(TblSales[[#This Row],[Date]])</f>
        <v>2025</v>
      </c>
    </row>
    <row r="44" spans="1:17">
      <c r="A44" t="s">
        <v>170</v>
      </c>
      <c r="B44" s="5" t="s">
        <v>171</v>
      </c>
      <c r="C44" t="s">
        <v>98</v>
      </c>
      <c r="D44" t="s">
        <v>17</v>
      </c>
      <c r="E44" t="s">
        <v>48</v>
      </c>
      <c r="F44" t="s">
        <v>172</v>
      </c>
      <c r="G44" t="s">
        <v>45</v>
      </c>
      <c r="H44" t="s">
        <v>34</v>
      </c>
      <c r="I44">
        <v>1</v>
      </c>
      <c r="J44">
        <v>8268</v>
      </c>
      <c r="K44">
        <v>7.0000000000000007E-2</v>
      </c>
      <c r="L44" s="9">
        <v>7689.24</v>
      </c>
      <c r="M44" s="9">
        <v>5942.92</v>
      </c>
      <c r="N44" s="9">
        <v>1746.32</v>
      </c>
      <c r="O44">
        <f>MONTH(TblSales[[#This Row],[Date]])</f>
        <v>4</v>
      </c>
      <c r="P44" t="str">
        <f>TEXT(TblSales[[#This Row],[Date]],"mmm")</f>
        <v>Apr</v>
      </c>
      <c r="Q44">
        <f>YEAR(TblSales[[#This Row],[Date]])</f>
        <v>2025</v>
      </c>
    </row>
    <row r="45" spans="1:17">
      <c r="A45" t="s">
        <v>173</v>
      </c>
      <c r="B45" s="5" t="s">
        <v>69</v>
      </c>
      <c r="C45" t="s">
        <v>98</v>
      </c>
      <c r="D45" t="s">
        <v>60</v>
      </c>
      <c r="E45" t="s">
        <v>106</v>
      </c>
      <c r="F45" t="s">
        <v>174</v>
      </c>
      <c r="G45" t="s">
        <v>20</v>
      </c>
      <c r="H45" t="s">
        <v>34</v>
      </c>
      <c r="I45">
        <v>3</v>
      </c>
      <c r="J45">
        <v>52136</v>
      </c>
      <c r="K45">
        <v>0.12</v>
      </c>
      <c r="L45" s="9">
        <v>137639.04000000001</v>
      </c>
      <c r="M45" s="9">
        <v>117413.69</v>
      </c>
      <c r="N45" s="9">
        <v>20225.349999999999</v>
      </c>
      <c r="O45">
        <f>MONTH(TblSales[[#This Row],[Date]])</f>
        <v>8</v>
      </c>
      <c r="P45" t="str">
        <f>TEXT(TblSales[[#This Row],[Date]],"mmm")</f>
        <v>Aug</v>
      </c>
      <c r="Q45">
        <f>YEAR(TblSales[[#This Row],[Date]])</f>
        <v>2025</v>
      </c>
    </row>
    <row r="46" spans="1:17">
      <c r="A46" t="s">
        <v>175</v>
      </c>
      <c r="B46" s="5" t="s">
        <v>176</v>
      </c>
      <c r="C46" t="s">
        <v>59</v>
      </c>
      <c r="D46" t="s">
        <v>53</v>
      </c>
      <c r="E46" t="s">
        <v>148</v>
      </c>
      <c r="F46" t="s">
        <v>149</v>
      </c>
      <c r="G46" t="s">
        <v>20</v>
      </c>
      <c r="H46" t="s">
        <v>34</v>
      </c>
      <c r="I46">
        <v>5</v>
      </c>
      <c r="J46">
        <v>39879</v>
      </c>
      <c r="K46">
        <v>0.04</v>
      </c>
      <c r="L46" s="9">
        <v>191419.2</v>
      </c>
      <c r="M46" s="9">
        <v>151693.17000000001</v>
      </c>
      <c r="N46" s="9">
        <v>39726.03</v>
      </c>
      <c r="O46">
        <f>MONTH(TblSales[[#This Row],[Date]])</f>
        <v>10</v>
      </c>
      <c r="P46" t="str">
        <f>TEXT(TblSales[[#This Row],[Date]],"mmm")</f>
        <v>Oct</v>
      </c>
      <c r="Q46">
        <f>YEAR(TblSales[[#This Row],[Date]])</f>
        <v>2025</v>
      </c>
    </row>
    <row r="47" spans="1:17">
      <c r="A47" t="s">
        <v>177</v>
      </c>
      <c r="B47" s="5" t="s">
        <v>178</v>
      </c>
      <c r="C47" t="s">
        <v>89</v>
      </c>
      <c r="D47" t="s">
        <v>25</v>
      </c>
      <c r="E47" t="s">
        <v>26</v>
      </c>
      <c r="F47" t="s">
        <v>179</v>
      </c>
      <c r="G47" t="s">
        <v>33</v>
      </c>
      <c r="H47" t="s">
        <v>29</v>
      </c>
      <c r="I47">
        <v>3</v>
      </c>
      <c r="J47">
        <v>35632</v>
      </c>
      <c r="K47">
        <v>0.08</v>
      </c>
      <c r="L47" s="9">
        <v>98344.320000000007</v>
      </c>
      <c r="M47" s="9">
        <v>87624.89</v>
      </c>
      <c r="N47" s="9">
        <v>10719.43</v>
      </c>
      <c r="O47">
        <f>MONTH(TblSales[[#This Row],[Date]])</f>
        <v>7</v>
      </c>
      <c r="P47" t="str">
        <f>TEXT(TblSales[[#This Row],[Date]],"mmm")</f>
        <v>Jul</v>
      </c>
      <c r="Q47">
        <f>YEAR(TblSales[[#This Row],[Date]])</f>
        <v>2025</v>
      </c>
    </row>
    <row r="48" spans="1:17">
      <c r="A48" t="s">
        <v>180</v>
      </c>
      <c r="B48" s="5" t="s">
        <v>181</v>
      </c>
      <c r="C48" t="s">
        <v>59</v>
      </c>
      <c r="D48" t="s">
        <v>60</v>
      </c>
      <c r="E48" t="s">
        <v>65</v>
      </c>
      <c r="F48" t="s">
        <v>66</v>
      </c>
      <c r="G48" t="s">
        <v>28</v>
      </c>
      <c r="H48" t="s">
        <v>29</v>
      </c>
      <c r="I48">
        <v>1</v>
      </c>
      <c r="J48">
        <v>2874</v>
      </c>
      <c r="K48">
        <v>0.09</v>
      </c>
      <c r="L48" s="9">
        <v>2615.34</v>
      </c>
      <c r="M48" s="9">
        <v>2131.66</v>
      </c>
      <c r="N48" s="9">
        <v>483.68</v>
      </c>
      <c r="O48">
        <f>MONTH(TblSales[[#This Row],[Date]])</f>
        <v>7</v>
      </c>
      <c r="P48" t="str">
        <f>TEXT(TblSales[[#This Row],[Date]],"mmm")</f>
        <v>Jul</v>
      </c>
      <c r="Q48">
        <f>YEAR(TblSales[[#This Row],[Date]])</f>
        <v>2025</v>
      </c>
    </row>
    <row r="49" spans="1:17">
      <c r="A49" t="s">
        <v>182</v>
      </c>
      <c r="B49" s="5" t="s">
        <v>183</v>
      </c>
      <c r="C49" t="s">
        <v>52</v>
      </c>
      <c r="D49" t="s">
        <v>17</v>
      </c>
      <c r="E49" t="s">
        <v>74</v>
      </c>
      <c r="F49" t="s">
        <v>184</v>
      </c>
      <c r="G49" t="s">
        <v>119</v>
      </c>
      <c r="H49" t="s">
        <v>21</v>
      </c>
      <c r="I49">
        <v>5</v>
      </c>
      <c r="J49">
        <v>47703</v>
      </c>
      <c r="K49">
        <v>0.02</v>
      </c>
      <c r="L49" s="9">
        <v>233744.7</v>
      </c>
      <c r="M49" s="9">
        <v>180538.35</v>
      </c>
      <c r="N49" s="9">
        <v>53206.35</v>
      </c>
      <c r="O49">
        <f>MONTH(TblSales[[#This Row],[Date]])</f>
        <v>8</v>
      </c>
      <c r="P49" t="str">
        <f>TEXT(TblSales[[#This Row],[Date]],"mmm")</f>
        <v>Aug</v>
      </c>
      <c r="Q49">
        <f>YEAR(TblSales[[#This Row],[Date]])</f>
        <v>2025</v>
      </c>
    </row>
    <row r="50" spans="1:17">
      <c r="A50" t="s">
        <v>185</v>
      </c>
      <c r="B50" s="5" t="s">
        <v>186</v>
      </c>
      <c r="C50" t="s">
        <v>52</v>
      </c>
      <c r="D50" t="s">
        <v>53</v>
      </c>
      <c r="E50" t="s">
        <v>140</v>
      </c>
      <c r="F50" t="s">
        <v>187</v>
      </c>
      <c r="G50" t="s">
        <v>33</v>
      </c>
      <c r="H50" t="s">
        <v>29</v>
      </c>
      <c r="I50">
        <v>1</v>
      </c>
      <c r="J50">
        <v>16930</v>
      </c>
      <c r="K50">
        <v>0.11</v>
      </c>
      <c r="L50" s="9">
        <v>15067.7</v>
      </c>
      <c r="M50" s="9">
        <v>12468.66</v>
      </c>
      <c r="N50" s="9">
        <v>2599.04</v>
      </c>
      <c r="O50">
        <f>MONTH(TblSales[[#This Row],[Date]])</f>
        <v>2</v>
      </c>
      <c r="P50" t="str">
        <f>TEXT(TblSales[[#This Row],[Date]],"mmm")</f>
        <v>Feb</v>
      </c>
      <c r="Q50">
        <f>YEAR(TblSales[[#This Row],[Date]])</f>
        <v>2025</v>
      </c>
    </row>
    <row r="51" spans="1:17">
      <c r="A51" t="s">
        <v>188</v>
      </c>
      <c r="B51" s="5" t="s">
        <v>189</v>
      </c>
      <c r="C51" t="s">
        <v>52</v>
      </c>
      <c r="D51" t="s">
        <v>53</v>
      </c>
      <c r="E51" t="s">
        <v>127</v>
      </c>
      <c r="F51" t="s">
        <v>190</v>
      </c>
      <c r="G51" t="s">
        <v>28</v>
      </c>
      <c r="H51" t="s">
        <v>56</v>
      </c>
      <c r="I51">
        <v>3</v>
      </c>
      <c r="J51">
        <v>34864</v>
      </c>
      <c r="K51">
        <v>0.03</v>
      </c>
      <c r="L51" s="9">
        <v>101454.24</v>
      </c>
      <c r="M51" s="9">
        <v>74851.81</v>
      </c>
      <c r="N51" s="9">
        <v>26602.43</v>
      </c>
      <c r="O51">
        <f>MONTH(TblSales[[#This Row],[Date]])</f>
        <v>2</v>
      </c>
      <c r="P51" t="str">
        <f>TEXT(TblSales[[#This Row],[Date]],"mmm")</f>
        <v>Feb</v>
      </c>
      <c r="Q51">
        <f>YEAR(TblSales[[#This Row],[Date]])</f>
        <v>2025</v>
      </c>
    </row>
    <row r="52" spans="1:17">
      <c r="A52" t="s">
        <v>191</v>
      </c>
      <c r="B52" s="5" t="s">
        <v>139</v>
      </c>
      <c r="C52" t="s">
        <v>32</v>
      </c>
      <c r="D52" t="s">
        <v>17</v>
      </c>
      <c r="E52" t="s">
        <v>38</v>
      </c>
      <c r="F52" t="s">
        <v>114</v>
      </c>
      <c r="G52" t="s">
        <v>108</v>
      </c>
      <c r="H52" t="s">
        <v>56</v>
      </c>
      <c r="I52">
        <v>5</v>
      </c>
      <c r="J52">
        <v>8579</v>
      </c>
      <c r="K52">
        <v>0.09</v>
      </c>
      <c r="L52" s="9">
        <v>39034.449999999997</v>
      </c>
      <c r="M52" s="9">
        <v>32018.79</v>
      </c>
      <c r="N52" s="9">
        <v>7015.66</v>
      </c>
      <c r="O52">
        <f>MONTH(TblSales[[#This Row],[Date]])</f>
        <v>3</v>
      </c>
      <c r="P52" t="str">
        <f>TEXT(TblSales[[#This Row],[Date]],"mmm")</f>
        <v>Mar</v>
      </c>
      <c r="Q52">
        <f>YEAR(TblSales[[#This Row],[Date]])</f>
        <v>2025</v>
      </c>
    </row>
    <row r="53" spans="1:17">
      <c r="A53" t="s">
        <v>192</v>
      </c>
      <c r="B53" s="5" t="s">
        <v>193</v>
      </c>
      <c r="C53" t="s">
        <v>24</v>
      </c>
      <c r="D53" t="s">
        <v>17</v>
      </c>
      <c r="E53" t="s">
        <v>74</v>
      </c>
      <c r="F53" t="s">
        <v>184</v>
      </c>
      <c r="G53" t="s">
        <v>119</v>
      </c>
      <c r="H53" t="s">
        <v>34</v>
      </c>
      <c r="I53">
        <v>5</v>
      </c>
      <c r="J53">
        <v>30287</v>
      </c>
      <c r="K53">
        <v>0.06</v>
      </c>
      <c r="L53" s="9">
        <v>142348.9</v>
      </c>
      <c r="M53" s="9">
        <v>109768.34</v>
      </c>
      <c r="N53" s="9">
        <v>32580.560000000001</v>
      </c>
      <c r="O53">
        <f>MONTH(TblSales[[#This Row],[Date]])</f>
        <v>10</v>
      </c>
      <c r="P53" t="str">
        <f>TEXT(TblSales[[#This Row],[Date]],"mmm")</f>
        <v>Oct</v>
      </c>
      <c r="Q53">
        <f>YEAR(TblSales[[#This Row],[Date]])</f>
        <v>2025</v>
      </c>
    </row>
    <row r="54" spans="1:17">
      <c r="A54" t="s">
        <v>194</v>
      </c>
      <c r="B54" s="5" t="s">
        <v>164</v>
      </c>
      <c r="C54" t="s">
        <v>52</v>
      </c>
      <c r="D54" t="s">
        <v>25</v>
      </c>
      <c r="E54" t="s">
        <v>70</v>
      </c>
      <c r="F54" t="s">
        <v>195</v>
      </c>
      <c r="G54" t="s">
        <v>28</v>
      </c>
      <c r="H54" t="s">
        <v>29</v>
      </c>
      <c r="I54">
        <v>4</v>
      </c>
      <c r="J54">
        <v>49418</v>
      </c>
      <c r="K54">
        <v>0.06</v>
      </c>
      <c r="L54" s="9">
        <v>185811.68</v>
      </c>
      <c r="M54" s="9">
        <v>132023.01</v>
      </c>
      <c r="N54" s="9">
        <v>53788.67</v>
      </c>
      <c r="O54">
        <f>MONTH(TblSales[[#This Row],[Date]])</f>
        <v>4</v>
      </c>
      <c r="P54" t="str">
        <f>TEXT(TblSales[[#This Row],[Date]],"mmm")</f>
        <v>Apr</v>
      </c>
      <c r="Q54">
        <f>YEAR(TblSales[[#This Row],[Date]])</f>
        <v>2025</v>
      </c>
    </row>
    <row r="55" spans="1:17">
      <c r="A55" t="s">
        <v>196</v>
      </c>
      <c r="B55" s="5" t="s">
        <v>197</v>
      </c>
      <c r="C55" t="s">
        <v>59</v>
      </c>
      <c r="D55" t="s">
        <v>17</v>
      </c>
      <c r="E55" t="s">
        <v>38</v>
      </c>
      <c r="F55" t="s">
        <v>114</v>
      </c>
      <c r="G55" t="s">
        <v>28</v>
      </c>
      <c r="H55" t="s">
        <v>56</v>
      </c>
      <c r="I55">
        <v>3</v>
      </c>
      <c r="J55">
        <v>51161</v>
      </c>
      <c r="K55">
        <v>0.1</v>
      </c>
      <c r="L55" s="9">
        <v>138134.70000000001</v>
      </c>
      <c r="M55" s="9">
        <v>122468.56</v>
      </c>
      <c r="N55" s="9">
        <v>15666.14</v>
      </c>
      <c r="O55">
        <f>MONTH(TblSales[[#This Row],[Date]])</f>
        <v>9</v>
      </c>
      <c r="P55" t="str">
        <f>TEXT(TblSales[[#This Row],[Date]],"mmm")</f>
        <v>Sep</v>
      </c>
      <c r="Q55">
        <f>YEAR(TblSales[[#This Row],[Date]])</f>
        <v>2025</v>
      </c>
    </row>
    <row r="56" spans="1:17">
      <c r="A56" t="s">
        <v>198</v>
      </c>
      <c r="B56" s="5" t="s">
        <v>199</v>
      </c>
      <c r="C56" t="s">
        <v>59</v>
      </c>
      <c r="D56" t="s">
        <v>25</v>
      </c>
      <c r="E56" t="s">
        <v>70</v>
      </c>
      <c r="F56" t="s">
        <v>195</v>
      </c>
      <c r="G56" t="s">
        <v>119</v>
      </c>
      <c r="H56" t="s">
        <v>21</v>
      </c>
      <c r="I56">
        <v>2</v>
      </c>
      <c r="J56">
        <v>43560</v>
      </c>
      <c r="K56">
        <v>0.11</v>
      </c>
      <c r="L56" s="9">
        <v>77536.800000000003</v>
      </c>
      <c r="M56" s="9">
        <v>66361.490000000005</v>
      </c>
      <c r="N56" s="9">
        <v>11175.31</v>
      </c>
      <c r="O56">
        <f>MONTH(TblSales[[#This Row],[Date]])</f>
        <v>3</v>
      </c>
      <c r="P56" t="str">
        <f>TEXT(TblSales[[#This Row],[Date]],"mmm")</f>
        <v>Mar</v>
      </c>
      <c r="Q56">
        <f>YEAR(TblSales[[#This Row],[Date]])</f>
        <v>2025</v>
      </c>
    </row>
    <row r="57" spans="1:17">
      <c r="A57" t="s">
        <v>200</v>
      </c>
      <c r="B57" s="5" t="s">
        <v>201</v>
      </c>
      <c r="C57" t="s">
        <v>59</v>
      </c>
      <c r="D57" t="s">
        <v>60</v>
      </c>
      <c r="E57" t="s">
        <v>65</v>
      </c>
      <c r="F57" t="s">
        <v>90</v>
      </c>
      <c r="G57" t="s">
        <v>119</v>
      </c>
      <c r="H57" t="s">
        <v>34</v>
      </c>
      <c r="I57">
        <v>1</v>
      </c>
      <c r="J57">
        <v>7902</v>
      </c>
      <c r="K57">
        <v>7.0000000000000007E-2</v>
      </c>
      <c r="L57" s="9">
        <v>7348.86</v>
      </c>
      <c r="M57" s="9">
        <v>6376.94</v>
      </c>
      <c r="N57" s="9">
        <v>971.92</v>
      </c>
      <c r="O57">
        <f>MONTH(TblSales[[#This Row],[Date]])</f>
        <v>8</v>
      </c>
      <c r="P57" t="str">
        <f>TEXT(TblSales[[#This Row],[Date]],"mmm")</f>
        <v>Aug</v>
      </c>
      <c r="Q57">
        <f>YEAR(TblSales[[#This Row],[Date]])</f>
        <v>2025</v>
      </c>
    </row>
    <row r="58" spans="1:17">
      <c r="A58" t="s">
        <v>202</v>
      </c>
      <c r="B58" s="5" t="s">
        <v>178</v>
      </c>
      <c r="C58" t="s">
        <v>37</v>
      </c>
      <c r="D58" t="s">
        <v>25</v>
      </c>
      <c r="E58" t="s">
        <v>81</v>
      </c>
      <c r="F58" t="s">
        <v>93</v>
      </c>
      <c r="G58" t="s">
        <v>28</v>
      </c>
      <c r="H58" t="s">
        <v>21</v>
      </c>
      <c r="I58">
        <v>2</v>
      </c>
      <c r="J58">
        <v>56509</v>
      </c>
      <c r="K58">
        <v>0.06</v>
      </c>
      <c r="L58" s="9">
        <v>106236.92</v>
      </c>
      <c r="M58" s="9">
        <v>85337.89</v>
      </c>
      <c r="N58" s="9">
        <v>20899.03</v>
      </c>
      <c r="O58">
        <f>MONTH(TblSales[[#This Row],[Date]])</f>
        <v>7</v>
      </c>
      <c r="P58" t="str">
        <f>TEXT(TblSales[[#This Row],[Date]],"mmm")</f>
        <v>Jul</v>
      </c>
      <c r="Q58">
        <f>YEAR(TblSales[[#This Row],[Date]])</f>
        <v>2025</v>
      </c>
    </row>
    <row r="59" spans="1:17">
      <c r="A59" t="s">
        <v>203</v>
      </c>
      <c r="B59" s="5" t="s">
        <v>204</v>
      </c>
      <c r="C59" t="s">
        <v>16</v>
      </c>
      <c r="D59" t="s">
        <v>17</v>
      </c>
      <c r="E59" t="s">
        <v>38</v>
      </c>
      <c r="F59" t="s">
        <v>205</v>
      </c>
      <c r="G59" t="s">
        <v>20</v>
      </c>
      <c r="H59" t="s">
        <v>29</v>
      </c>
      <c r="I59">
        <v>2</v>
      </c>
      <c r="J59">
        <v>23986</v>
      </c>
      <c r="K59">
        <v>0.04</v>
      </c>
      <c r="L59" s="9">
        <v>46053.120000000003</v>
      </c>
      <c r="M59" s="9">
        <v>34485.81</v>
      </c>
      <c r="N59" s="9">
        <v>11567.31</v>
      </c>
      <c r="O59">
        <f>MONTH(TblSales[[#This Row],[Date]])</f>
        <v>5</v>
      </c>
      <c r="P59" t="str">
        <f>TEXT(TblSales[[#This Row],[Date]],"mmm")</f>
        <v>May</v>
      </c>
      <c r="Q59">
        <f>YEAR(TblSales[[#This Row],[Date]])</f>
        <v>2025</v>
      </c>
    </row>
    <row r="60" spans="1:17">
      <c r="A60" t="s">
        <v>206</v>
      </c>
      <c r="B60" s="5" t="s">
        <v>181</v>
      </c>
      <c r="C60" t="s">
        <v>85</v>
      </c>
      <c r="D60" t="s">
        <v>25</v>
      </c>
      <c r="E60" t="s">
        <v>26</v>
      </c>
      <c r="F60" t="s">
        <v>99</v>
      </c>
      <c r="G60" t="s">
        <v>119</v>
      </c>
      <c r="H60" t="s">
        <v>56</v>
      </c>
      <c r="I60">
        <v>2</v>
      </c>
      <c r="J60">
        <v>19423</v>
      </c>
      <c r="K60">
        <v>0.05</v>
      </c>
      <c r="L60" s="9">
        <v>36903.699999999997</v>
      </c>
      <c r="M60" s="9">
        <v>27680.95</v>
      </c>
      <c r="N60" s="9">
        <v>9222.75</v>
      </c>
      <c r="O60">
        <f>MONTH(TblSales[[#This Row],[Date]])</f>
        <v>7</v>
      </c>
      <c r="P60" t="str">
        <f>TEXT(TblSales[[#This Row],[Date]],"mmm")</f>
        <v>Jul</v>
      </c>
      <c r="Q60">
        <f>YEAR(TblSales[[#This Row],[Date]])</f>
        <v>2025</v>
      </c>
    </row>
    <row r="61" spans="1:17">
      <c r="A61" t="s">
        <v>207</v>
      </c>
      <c r="B61" s="5" t="s">
        <v>208</v>
      </c>
      <c r="C61" t="s">
        <v>89</v>
      </c>
      <c r="D61" t="s">
        <v>60</v>
      </c>
      <c r="E61" t="s">
        <v>106</v>
      </c>
      <c r="F61" t="s">
        <v>209</v>
      </c>
      <c r="G61" t="s">
        <v>45</v>
      </c>
      <c r="H61" t="s">
        <v>21</v>
      </c>
      <c r="I61">
        <v>4</v>
      </c>
      <c r="J61">
        <v>53368</v>
      </c>
      <c r="K61">
        <v>0.12</v>
      </c>
      <c r="L61" s="9">
        <v>187855.35999999999</v>
      </c>
      <c r="M61" s="9">
        <v>150521.9</v>
      </c>
      <c r="N61" s="9">
        <v>37333.46</v>
      </c>
      <c r="O61">
        <f>MONTH(TblSales[[#This Row],[Date]])</f>
        <v>1</v>
      </c>
      <c r="P61" t="str">
        <f>TEXT(TblSales[[#This Row],[Date]],"mmm")</f>
        <v>Jan</v>
      </c>
      <c r="Q61">
        <f>YEAR(TblSales[[#This Row],[Date]])</f>
        <v>2025</v>
      </c>
    </row>
    <row r="62" spans="1:17">
      <c r="A62" t="s">
        <v>210</v>
      </c>
      <c r="B62" s="5" t="s">
        <v>211</v>
      </c>
      <c r="C62" t="s">
        <v>16</v>
      </c>
      <c r="D62" t="s">
        <v>53</v>
      </c>
      <c r="E62" t="s">
        <v>127</v>
      </c>
      <c r="F62" t="s">
        <v>128</v>
      </c>
      <c r="G62" t="s">
        <v>28</v>
      </c>
      <c r="H62" t="s">
        <v>34</v>
      </c>
      <c r="I62">
        <v>3</v>
      </c>
      <c r="J62">
        <v>7244</v>
      </c>
      <c r="K62">
        <v>0.11</v>
      </c>
      <c r="L62" s="9">
        <v>19341.48</v>
      </c>
      <c r="M62" s="9">
        <v>15711.24</v>
      </c>
      <c r="N62" s="9">
        <v>3630.24</v>
      </c>
      <c r="O62">
        <f>MONTH(TblSales[[#This Row],[Date]])</f>
        <v>2</v>
      </c>
      <c r="P62" t="str">
        <f>TEXT(TblSales[[#This Row],[Date]],"mmm")</f>
        <v>Feb</v>
      </c>
      <c r="Q62">
        <f>YEAR(TblSales[[#This Row],[Date]])</f>
        <v>2025</v>
      </c>
    </row>
    <row r="63" spans="1:17">
      <c r="A63" t="s">
        <v>212</v>
      </c>
      <c r="B63" s="5" t="s">
        <v>213</v>
      </c>
      <c r="C63" t="s">
        <v>16</v>
      </c>
      <c r="D63" t="s">
        <v>17</v>
      </c>
      <c r="E63" t="s">
        <v>74</v>
      </c>
      <c r="F63" t="s">
        <v>75</v>
      </c>
      <c r="G63" t="s">
        <v>108</v>
      </c>
      <c r="H63" t="s">
        <v>56</v>
      </c>
      <c r="I63">
        <v>3</v>
      </c>
      <c r="J63">
        <v>38880</v>
      </c>
      <c r="K63">
        <v>0.04</v>
      </c>
      <c r="L63" s="9">
        <v>111974.39999999999</v>
      </c>
      <c r="M63" s="9">
        <v>84615.32</v>
      </c>
      <c r="N63" s="9">
        <v>27359.08</v>
      </c>
      <c r="O63">
        <f>MONTH(TblSales[[#This Row],[Date]])</f>
        <v>6</v>
      </c>
      <c r="P63" t="str">
        <f>TEXT(TblSales[[#This Row],[Date]],"mmm")</f>
        <v>Jun</v>
      </c>
      <c r="Q63">
        <f>YEAR(TblSales[[#This Row],[Date]])</f>
        <v>2025</v>
      </c>
    </row>
    <row r="64" spans="1:17">
      <c r="A64" t="s">
        <v>214</v>
      </c>
      <c r="B64" s="5" t="s">
        <v>58</v>
      </c>
      <c r="C64" t="s">
        <v>89</v>
      </c>
      <c r="D64" t="s">
        <v>60</v>
      </c>
      <c r="E64" t="s">
        <v>61</v>
      </c>
      <c r="F64" t="s">
        <v>62</v>
      </c>
      <c r="G64" t="s">
        <v>20</v>
      </c>
      <c r="H64" t="s">
        <v>29</v>
      </c>
      <c r="I64">
        <v>5</v>
      </c>
      <c r="J64">
        <v>29324</v>
      </c>
      <c r="K64">
        <v>0.15</v>
      </c>
      <c r="L64" s="9">
        <v>124627</v>
      </c>
      <c r="M64" s="9">
        <v>91745.25</v>
      </c>
      <c r="N64" s="9">
        <v>32881.75</v>
      </c>
      <c r="O64">
        <f>MONTH(TblSales[[#This Row],[Date]])</f>
        <v>1</v>
      </c>
      <c r="P64" t="str">
        <f>TEXT(TblSales[[#This Row],[Date]],"mmm")</f>
        <v>Jan</v>
      </c>
      <c r="Q64">
        <f>YEAR(TblSales[[#This Row],[Date]])</f>
        <v>2025</v>
      </c>
    </row>
    <row r="65" spans="1:17">
      <c r="A65" t="s">
        <v>215</v>
      </c>
      <c r="B65" s="5" t="s">
        <v>216</v>
      </c>
      <c r="C65" t="s">
        <v>113</v>
      </c>
      <c r="D65" t="s">
        <v>53</v>
      </c>
      <c r="E65" t="s">
        <v>140</v>
      </c>
      <c r="F65" t="s">
        <v>217</v>
      </c>
      <c r="G65" t="s">
        <v>33</v>
      </c>
      <c r="H65" t="s">
        <v>56</v>
      </c>
      <c r="I65">
        <v>5</v>
      </c>
      <c r="J65">
        <v>33150</v>
      </c>
      <c r="K65">
        <v>0.11</v>
      </c>
      <c r="L65" s="9">
        <v>147517.5</v>
      </c>
      <c r="M65" s="9">
        <v>118529.14</v>
      </c>
      <c r="N65" s="9">
        <v>28988.36</v>
      </c>
      <c r="O65">
        <f>MONTH(TblSales[[#This Row],[Date]])</f>
        <v>9</v>
      </c>
      <c r="P65" t="str">
        <f>TEXT(TblSales[[#This Row],[Date]],"mmm")</f>
        <v>Sep</v>
      </c>
      <c r="Q65">
        <f>YEAR(TblSales[[#This Row],[Date]])</f>
        <v>2025</v>
      </c>
    </row>
    <row r="66" spans="1:17">
      <c r="A66" t="s">
        <v>218</v>
      </c>
      <c r="B66" s="5" t="s">
        <v>219</v>
      </c>
      <c r="C66" t="s">
        <v>113</v>
      </c>
      <c r="D66" t="s">
        <v>25</v>
      </c>
      <c r="E66" t="s">
        <v>43</v>
      </c>
      <c r="F66" t="s">
        <v>220</v>
      </c>
      <c r="G66" t="s">
        <v>108</v>
      </c>
      <c r="H66" t="s">
        <v>34</v>
      </c>
      <c r="I66">
        <v>5</v>
      </c>
      <c r="J66">
        <v>24420</v>
      </c>
      <c r="K66">
        <v>0.14000000000000001</v>
      </c>
      <c r="L66" s="9">
        <v>105006</v>
      </c>
      <c r="M66" s="9">
        <v>79667.820000000007</v>
      </c>
      <c r="N66" s="9">
        <v>25338.18</v>
      </c>
      <c r="O66">
        <f>MONTH(TblSales[[#This Row],[Date]])</f>
        <v>8</v>
      </c>
      <c r="P66" t="str">
        <f>TEXT(TblSales[[#This Row],[Date]],"mmm")</f>
        <v>Aug</v>
      </c>
      <c r="Q66">
        <f>YEAR(TblSales[[#This Row],[Date]])</f>
        <v>2025</v>
      </c>
    </row>
    <row r="67" spans="1:17">
      <c r="A67" t="s">
        <v>221</v>
      </c>
      <c r="B67" s="5" t="s">
        <v>222</v>
      </c>
      <c r="C67" t="s">
        <v>16</v>
      </c>
      <c r="D67" t="s">
        <v>60</v>
      </c>
      <c r="E67" t="s">
        <v>106</v>
      </c>
      <c r="F67" t="s">
        <v>209</v>
      </c>
      <c r="G67" t="s">
        <v>40</v>
      </c>
      <c r="H67" t="s">
        <v>56</v>
      </c>
      <c r="I67">
        <v>5</v>
      </c>
      <c r="J67">
        <v>50303</v>
      </c>
      <c r="K67">
        <v>7.0000000000000007E-2</v>
      </c>
      <c r="L67" s="9">
        <v>233908.95</v>
      </c>
      <c r="M67" s="9">
        <v>175120.53</v>
      </c>
      <c r="N67" s="9">
        <v>58788.42</v>
      </c>
      <c r="O67">
        <f>MONTH(TblSales[[#This Row],[Date]])</f>
        <v>5</v>
      </c>
      <c r="P67" t="str">
        <f>TEXT(TblSales[[#This Row],[Date]],"mmm")</f>
        <v>May</v>
      </c>
      <c r="Q67">
        <f>YEAR(TblSales[[#This Row],[Date]])</f>
        <v>2025</v>
      </c>
    </row>
    <row r="68" spans="1:17">
      <c r="A68" t="s">
        <v>223</v>
      </c>
      <c r="B68" s="5" t="s">
        <v>224</v>
      </c>
      <c r="C68" t="s">
        <v>37</v>
      </c>
      <c r="D68" t="s">
        <v>53</v>
      </c>
      <c r="E68" t="s">
        <v>54</v>
      </c>
      <c r="F68" t="s">
        <v>225</v>
      </c>
      <c r="G68" t="s">
        <v>33</v>
      </c>
      <c r="H68" t="s">
        <v>56</v>
      </c>
      <c r="I68">
        <v>5</v>
      </c>
      <c r="J68">
        <v>38560</v>
      </c>
      <c r="K68">
        <v>0.03</v>
      </c>
      <c r="L68" s="9">
        <v>187016</v>
      </c>
      <c r="M68" s="9">
        <v>148078.47</v>
      </c>
      <c r="N68" s="9">
        <v>38937.53</v>
      </c>
      <c r="O68">
        <f>MONTH(TblSales[[#This Row],[Date]])</f>
        <v>6</v>
      </c>
      <c r="P68" t="str">
        <f>TEXT(TblSales[[#This Row],[Date]],"mmm")</f>
        <v>Jun</v>
      </c>
      <c r="Q68">
        <f>YEAR(TblSales[[#This Row],[Date]])</f>
        <v>2025</v>
      </c>
    </row>
    <row r="69" spans="1:17">
      <c r="A69" t="s">
        <v>226</v>
      </c>
      <c r="B69" s="5" t="s">
        <v>227</v>
      </c>
      <c r="C69" t="s">
        <v>32</v>
      </c>
      <c r="D69" t="s">
        <v>17</v>
      </c>
      <c r="E69" t="s">
        <v>74</v>
      </c>
      <c r="F69" t="s">
        <v>75</v>
      </c>
      <c r="G69" t="s">
        <v>45</v>
      </c>
      <c r="H69" t="s">
        <v>34</v>
      </c>
      <c r="I69">
        <v>2</v>
      </c>
      <c r="J69">
        <v>57349</v>
      </c>
      <c r="K69">
        <v>0.12</v>
      </c>
      <c r="L69" s="9">
        <v>100934.24</v>
      </c>
      <c r="M69" s="9">
        <v>86876.96</v>
      </c>
      <c r="N69" s="9">
        <v>14057.28</v>
      </c>
      <c r="O69">
        <f>MONTH(TblSales[[#This Row],[Date]])</f>
        <v>8</v>
      </c>
      <c r="P69" t="str">
        <f>TEXT(TblSales[[#This Row],[Date]],"mmm")</f>
        <v>Aug</v>
      </c>
      <c r="Q69">
        <f>YEAR(TblSales[[#This Row],[Date]])</f>
        <v>2025</v>
      </c>
    </row>
    <row r="70" spans="1:17">
      <c r="A70" t="s">
        <v>228</v>
      </c>
      <c r="B70" s="5" t="s">
        <v>229</v>
      </c>
      <c r="C70" t="s">
        <v>24</v>
      </c>
      <c r="D70" t="s">
        <v>17</v>
      </c>
      <c r="E70" t="s">
        <v>48</v>
      </c>
      <c r="F70" t="s">
        <v>172</v>
      </c>
      <c r="G70" t="s">
        <v>40</v>
      </c>
      <c r="H70" t="s">
        <v>21</v>
      </c>
      <c r="I70">
        <v>4</v>
      </c>
      <c r="J70">
        <v>17897</v>
      </c>
      <c r="K70">
        <v>0.15</v>
      </c>
      <c r="L70" s="9">
        <v>60849.8</v>
      </c>
      <c r="M70" s="9">
        <v>53542.15</v>
      </c>
      <c r="N70" s="9">
        <v>7307.65</v>
      </c>
      <c r="O70">
        <f>MONTH(TblSales[[#This Row],[Date]])</f>
        <v>3</v>
      </c>
      <c r="P70" t="str">
        <f>TEXT(TblSales[[#This Row],[Date]],"mmm")</f>
        <v>Mar</v>
      </c>
      <c r="Q70">
        <f>YEAR(TblSales[[#This Row],[Date]])</f>
        <v>2025</v>
      </c>
    </row>
    <row r="71" spans="1:17">
      <c r="A71" t="s">
        <v>230</v>
      </c>
      <c r="B71" s="5" t="s">
        <v>231</v>
      </c>
      <c r="C71" t="s">
        <v>113</v>
      </c>
      <c r="D71" t="s">
        <v>25</v>
      </c>
      <c r="E71" t="s">
        <v>81</v>
      </c>
      <c r="F71" t="s">
        <v>82</v>
      </c>
      <c r="G71" t="s">
        <v>45</v>
      </c>
      <c r="H71" t="s">
        <v>21</v>
      </c>
      <c r="I71">
        <v>3</v>
      </c>
      <c r="J71">
        <v>13711</v>
      </c>
      <c r="K71">
        <v>0.02</v>
      </c>
      <c r="L71" s="9">
        <v>40310.339999999997</v>
      </c>
      <c r="M71" s="9">
        <v>34276.25</v>
      </c>
      <c r="N71" s="9">
        <v>6034.09</v>
      </c>
      <c r="O71">
        <f>MONTH(TblSales[[#This Row],[Date]])</f>
        <v>1</v>
      </c>
      <c r="P71" t="str">
        <f>TEXT(TblSales[[#This Row],[Date]],"mmm")</f>
        <v>Jan</v>
      </c>
      <c r="Q71">
        <f>YEAR(TblSales[[#This Row],[Date]])</f>
        <v>2025</v>
      </c>
    </row>
    <row r="72" spans="1:17">
      <c r="A72" t="s">
        <v>232</v>
      </c>
      <c r="B72" s="5" t="s">
        <v>233</v>
      </c>
      <c r="C72" t="s">
        <v>59</v>
      </c>
      <c r="D72" t="s">
        <v>17</v>
      </c>
      <c r="E72" t="s">
        <v>38</v>
      </c>
      <c r="F72" t="s">
        <v>114</v>
      </c>
      <c r="G72" t="s">
        <v>33</v>
      </c>
      <c r="H72" t="s">
        <v>34</v>
      </c>
      <c r="I72">
        <v>2</v>
      </c>
      <c r="J72">
        <v>30005</v>
      </c>
      <c r="K72">
        <v>0.11</v>
      </c>
      <c r="L72" s="9">
        <v>53408.9</v>
      </c>
      <c r="M72" s="9">
        <v>47779.08</v>
      </c>
      <c r="N72" s="9">
        <v>5629.82</v>
      </c>
      <c r="O72">
        <f>MONTH(TblSales[[#This Row],[Date]])</f>
        <v>2</v>
      </c>
      <c r="P72" t="str">
        <f>TEXT(TblSales[[#This Row],[Date]],"mmm")</f>
        <v>Feb</v>
      </c>
      <c r="Q72">
        <f>YEAR(TblSales[[#This Row],[Date]])</f>
        <v>2025</v>
      </c>
    </row>
    <row r="73" spans="1:17">
      <c r="A73" t="s">
        <v>234</v>
      </c>
      <c r="B73" s="5" t="s">
        <v>181</v>
      </c>
      <c r="C73" t="s">
        <v>98</v>
      </c>
      <c r="D73" t="s">
        <v>17</v>
      </c>
      <c r="E73" t="s">
        <v>38</v>
      </c>
      <c r="F73" t="s">
        <v>96</v>
      </c>
      <c r="G73" t="s">
        <v>33</v>
      </c>
      <c r="H73" t="s">
        <v>34</v>
      </c>
      <c r="I73">
        <v>2</v>
      </c>
      <c r="J73">
        <v>6700</v>
      </c>
      <c r="K73">
        <v>0.09</v>
      </c>
      <c r="L73" s="9">
        <v>12194</v>
      </c>
      <c r="M73" s="9">
        <v>10650.45</v>
      </c>
      <c r="N73" s="9">
        <v>1543.55</v>
      </c>
      <c r="O73">
        <f>MONTH(TblSales[[#This Row],[Date]])</f>
        <v>7</v>
      </c>
      <c r="P73" t="str">
        <f>TEXT(TblSales[[#This Row],[Date]],"mmm")</f>
        <v>Jul</v>
      </c>
      <c r="Q73">
        <f>YEAR(TblSales[[#This Row],[Date]])</f>
        <v>2025</v>
      </c>
    </row>
    <row r="74" spans="1:17">
      <c r="A74" t="s">
        <v>235</v>
      </c>
      <c r="B74" s="5" t="s">
        <v>236</v>
      </c>
      <c r="C74" t="s">
        <v>24</v>
      </c>
      <c r="D74" t="s">
        <v>60</v>
      </c>
      <c r="E74" t="s">
        <v>65</v>
      </c>
      <c r="F74" t="s">
        <v>237</v>
      </c>
      <c r="G74" t="s">
        <v>119</v>
      </c>
      <c r="H74" t="s">
        <v>34</v>
      </c>
      <c r="I74">
        <v>2</v>
      </c>
      <c r="J74">
        <v>47921</v>
      </c>
      <c r="K74">
        <v>0.14000000000000001</v>
      </c>
      <c r="L74" s="9">
        <v>82424.12</v>
      </c>
      <c r="M74" s="9">
        <v>62906.95</v>
      </c>
      <c r="N74" s="9">
        <v>19517.169999999998</v>
      </c>
      <c r="O74">
        <f>MONTH(TblSales[[#This Row],[Date]])</f>
        <v>10</v>
      </c>
      <c r="P74" t="str">
        <f>TEXT(TblSales[[#This Row],[Date]],"mmm")</f>
        <v>Oct</v>
      </c>
      <c r="Q74">
        <f>YEAR(TblSales[[#This Row],[Date]])</f>
        <v>2025</v>
      </c>
    </row>
    <row r="75" spans="1:17">
      <c r="A75" t="s">
        <v>238</v>
      </c>
      <c r="B75" s="5" t="s">
        <v>239</v>
      </c>
      <c r="C75" t="s">
        <v>98</v>
      </c>
      <c r="D75" t="s">
        <v>17</v>
      </c>
      <c r="E75" t="s">
        <v>38</v>
      </c>
      <c r="F75" t="s">
        <v>205</v>
      </c>
      <c r="G75" t="s">
        <v>119</v>
      </c>
      <c r="H75" t="s">
        <v>29</v>
      </c>
      <c r="I75">
        <v>5</v>
      </c>
      <c r="J75">
        <v>14412</v>
      </c>
      <c r="K75">
        <v>0.06</v>
      </c>
      <c r="L75" s="9">
        <v>67736.399999999994</v>
      </c>
      <c r="M75" s="9">
        <v>57431.14</v>
      </c>
      <c r="N75" s="9">
        <v>10305.26</v>
      </c>
      <c r="O75">
        <f>MONTH(TblSales[[#This Row],[Date]])</f>
        <v>6</v>
      </c>
      <c r="P75" t="str">
        <f>TEXT(TblSales[[#This Row],[Date]],"mmm")</f>
        <v>Jun</v>
      </c>
      <c r="Q75">
        <f>YEAR(TblSales[[#This Row],[Date]])</f>
        <v>2025</v>
      </c>
    </row>
    <row r="76" spans="1:17">
      <c r="A76" t="s">
        <v>240</v>
      </c>
      <c r="B76" s="5" t="s">
        <v>241</v>
      </c>
      <c r="C76" t="s">
        <v>113</v>
      </c>
      <c r="D76" t="s">
        <v>53</v>
      </c>
      <c r="E76" t="s">
        <v>148</v>
      </c>
      <c r="F76" t="s">
        <v>242</v>
      </c>
      <c r="G76" t="s">
        <v>108</v>
      </c>
      <c r="H76" t="s">
        <v>29</v>
      </c>
      <c r="I76">
        <v>3</v>
      </c>
      <c r="J76">
        <v>13819</v>
      </c>
      <c r="K76">
        <v>0.08</v>
      </c>
      <c r="L76" s="9">
        <v>38140.44</v>
      </c>
      <c r="M76" s="9">
        <v>33249.75</v>
      </c>
      <c r="N76" s="9">
        <v>4890.6899999999996</v>
      </c>
      <c r="O76">
        <f>MONTH(TblSales[[#This Row],[Date]])</f>
        <v>6</v>
      </c>
      <c r="P76" t="str">
        <f>TEXT(TblSales[[#This Row],[Date]],"mmm")</f>
        <v>Jun</v>
      </c>
      <c r="Q76">
        <f>YEAR(TblSales[[#This Row],[Date]])</f>
        <v>2025</v>
      </c>
    </row>
    <row r="77" spans="1:17">
      <c r="A77" t="s">
        <v>243</v>
      </c>
      <c r="B77" s="5" t="s">
        <v>244</v>
      </c>
      <c r="C77" t="s">
        <v>16</v>
      </c>
      <c r="D77" t="s">
        <v>60</v>
      </c>
      <c r="E77" t="s">
        <v>106</v>
      </c>
      <c r="F77" t="s">
        <v>174</v>
      </c>
      <c r="G77" t="s">
        <v>40</v>
      </c>
      <c r="H77" t="s">
        <v>29</v>
      </c>
      <c r="I77">
        <v>1</v>
      </c>
      <c r="J77">
        <v>30468</v>
      </c>
      <c r="K77">
        <v>0.06</v>
      </c>
      <c r="L77" s="9">
        <v>28639.919999999998</v>
      </c>
      <c r="M77" s="9">
        <v>24940.09</v>
      </c>
      <c r="N77" s="9">
        <v>3699.83</v>
      </c>
      <c r="O77">
        <f>MONTH(TblSales[[#This Row],[Date]])</f>
        <v>8</v>
      </c>
      <c r="P77" t="str">
        <f>TEXT(TblSales[[#This Row],[Date]],"mmm")</f>
        <v>Aug</v>
      </c>
      <c r="Q77">
        <f>YEAR(TblSales[[#This Row],[Date]])</f>
        <v>2025</v>
      </c>
    </row>
    <row r="78" spans="1:17">
      <c r="A78" t="s">
        <v>245</v>
      </c>
      <c r="B78" s="5" t="s">
        <v>246</v>
      </c>
      <c r="C78" t="s">
        <v>85</v>
      </c>
      <c r="D78" t="s">
        <v>17</v>
      </c>
      <c r="E78" t="s">
        <v>38</v>
      </c>
      <c r="F78" t="s">
        <v>96</v>
      </c>
      <c r="G78" t="s">
        <v>28</v>
      </c>
      <c r="H78" t="s">
        <v>21</v>
      </c>
      <c r="I78">
        <v>5</v>
      </c>
      <c r="J78">
        <v>53807</v>
      </c>
      <c r="K78">
        <v>0.09</v>
      </c>
      <c r="L78" s="9">
        <v>244821.85</v>
      </c>
      <c r="M78" s="9">
        <v>189706.67</v>
      </c>
      <c r="N78" s="9">
        <v>55115.18</v>
      </c>
      <c r="O78">
        <f>MONTH(TblSales[[#This Row],[Date]])</f>
        <v>10</v>
      </c>
      <c r="P78" t="str">
        <f>TEXT(TblSales[[#This Row],[Date]],"mmm")</f>
        <v>Oct</v>
      </c>
      <c r="Q78">
        <f>YEAR(TblSales[[#This Row],[Date]])</f>
        <v>2025</v>
      </c>
    </row>
    <row r="79" spans="1:17">
      <c r="A79" t="s">
        <v>247</v>
      </c>
      <c r="B79" s="5" t="s">
        <v>248</v>
      </c>
      <c r="C79" t="s">
        <v>89</v>
      </c>
      <c r="D79" t="s">
        <v>53</v>
      </c>
      <c r="E79" t="s">
        <v>54</v>
      </c>
      <c r="F79" t="s">
        <v>116</v>
      </c>
      <c r="G79" t="s">
        <v>67</v>
      </c>
      <c r="H79" t="s">
        <v>34</v>
      </c>
      <c r="I79">
        <v>5</v>
      </c>
      <c r="J79">
        <v>6667</v>
      </c>
      <c r="K79">
        <v>0.08</v>
      </c>
      <c r="L79" s="9">
        <v>30668.2</v>
      </c>
      <c r="M79" s="9">
        <v>27111.46</v>
      </c>
      <c r="N79" s="9">
        <v>3556.74</v>
      </c>
      <c r="O79">
        <f>MONTH(TblSales[[#This Row],[Date]])</f>
        <v>6</v>
      </c>
      <c r="P79" t="str">
        <f>TEXT(TblSales[[#This Row],[Date]],"mmm")</f>
        <v>Jun</v>
      </c>
      <c r="Q79">
        <f>YEAR(TblSales[[#This Row],[Date]])</f>
        <v>2025</v>
      </c>
    </row>
    <row r="80" spans="1:17">
      <c r="A80" t="s">
        <v>249</v>
      </c>
      <c r="B80" s="5" t="s">
        <v>250</v>
      </c>
      <c r="C80" t="s">
        <v>24</v>
      </c>
      <c r="D80" t="s">
        <v>25</v>
      </c>
      <c r="E80" t="s">
        <v>43</v>
      </c>
      <c r="F80" t="s">
        <v>159</v>
      </c>
      <c r="G80" t="s">
        <v>33</v>
      </c>
      <c r="H80" t="s">
        <v>21</v>
      </c>
      <c r="I80">
        <v>3</v>
      </c>
      <c r="J80">
        <v>21359</v>
      </c>
      <c r="K80">
        <v>0.03</v>
      </c>
      <c r="L80" s="9">
        <v>62154.69</v>
      </c>
      <c r="M80" s="9">
        <v>52401.99</v>
      </c>
      <c r="N80" s="9">
        <v>9752.7000000000007</v>
      </c>
      <c r="O80">
        <f>MONTH(TblSales[[#This Row],[Date]])</f>
        <v>9</v>
      </c>
      <c r="P80" t="str">
        <f>TEXT(TblSales[[#This Row],[Date]],"mmm")</f>
        <v>Sep</v>
      </c>
      <c r="Q80">
        <f>YEAR(TblSales[[#This Row],[Date]])</f>
        <v>2025</v>
      </c>
    </row>
    <row r="81" spans="1:17">
      <c r="A81" t="s">
        <v>251</v>
      </c>
      <c r="B81" s="5" t="s">
        <v>252</v>
      </c>
      <c r="C81" t="s">
        <v>113</v>
      </c>
      <c r="D81" t="s">
        <v>25</v>
      </c>
      <c r="E81" t="s">
        <v>81</v>
      </c>
      <c r="F81" t="s">
        <v>93</v>
      </c>
      <c r="G81" t="s">
        <v>67</v>
      </c>
      <c r="H81" t="s">
        <v>56</v>
      </c>
      <c r="I81">
        <v>2</v>
      </c>
      <c r="J81">
        <v>35961</v>
      </c>
      <c r="K81">
        <v>0.03</v>
      </c>
      <c r="L81" s="9">
        <v>69764.34</v>
      </c>
      <c r="M81" s="9">
        <v>59331.81</v>
      </c>
      <c r="N81" s="9">
        <v>10432.530000000001</v>
      </c>
      <c r="O81">
        <f>MONTH(TblSales[[#This Row],[Date]])</f>
        <v>1</v>
      </c>
      <c r="P81" t="str">
        <f>TEXT(TblSales[[#This Row],[Date]],"mmm")</f>
        <v>Jan</v>
      </c>
      <c r="Q81">
        <f>YEAR(TblSales[[#This Row],[Date]])</f>
        <v>2025</v>
      </c>
    </row>
    <row r="82" spans="1:17">
      <c r="A82" t="s">
        <v>253</v>
      </c>
      <c r="B82" s="5" t="s">
        <v>254</v>
      </c>
      <c r="C82" t="s">
        <v>24</v>
      </c>
      <c r="D82" t="s">
        <v>25</v>
      </c>
      <c r="E82" t="s">
        <v>43</v>
      </c>
      <c r="F82" t="s">
        <v>220</v>
      </c>
      <c r="G82" t="s">
        <v>40</v>
      </c>
      <c r="H82" t="s">
        <v>34</v>
      </c>
      <c r="I82">
        <v>3</v>
      </c>
      <c r="J82">
        <v>24818</v>
      </c>
      <c r="K82">
        <v>0.13</v>
      </c>
      <c r="L82" s="9">
        <v>64774.98</v>
      </c>
      <c r="M82" s="9">
        <v>54891.37</v>
      </c>
      <c r="N82" s="9">
        <v>9883.61</v>
      </c>
      <c r="O82">
        <f>MONTH(TblSales[[#This Row],[Date]])</f>
        <v>7</v>
      </c>
      <c r="P82" t="str">
        <f>TEXT(TblSales[[#This Row],[Date]],"mmm")</f>
        <v>Jul</v>
      </c>
      <c r="Q82">
        <f>YEAR(TblSales[[#This Row],[Date]])</f>
        <v>2025</v>
      </c>
    </row>
    <row r="83" spans="1:17">
      <c r="A83" t="s">
        <v>255</v>
      </c>
      <c r="B83" s="5" t="s">
        <v>256</v>
      </c>
      <c r="C83" t="s">
        <v>59</v>
      </c>
      <c r="D83" t="s">
        <v>25</v>
      </c>
      <c r="E83" t="s">
        <v>70</v>
      </c>
      <c r="F83" t="s">
        <v>257</v>
      </c>
      <c r="G83" t="s">
        <v>108</v>
      </c>
      <c r="H83" t="s">
        <v>34</v>
      </c>
      <c r="I83">
        <v>2</v>
      </c>
      <c r="J83">
        <v>26525</v>
      </c>
      <c r="K83">
        <v>0.02</v>
      </c>
      <c r="L83" s="9">
        <v>51989</v>
      </c>
      <c r="M83" s="9">
        <v>44595.55</v>
      </c>
      <c r="N83" s="9">
        <v>7393.45</v>
      </c>
      <c r="O83">
        <f>MONTH(TblSales[[#This Row],[Date]])</f>
        <v>9</v>
      </c>
      <c r="P83" t="str">
        <f>TEXT(TblSales[[#This Row],[Date]],"mmm")</f>
        <v>Sep</v>
      </c>
      <c r="Q83">
        <f>YEAR(TblSales[[#This Row],[Date]])</f>
        <v>2025</v>
      </c>
    </row>
    <row r="84" spans="1:17">
      <c r="A84" t="s">
        <v>258</v>
      </c>
      <c r="B84" s="5" t="s">
        <v>31</v>
      </c>
      <c r="C84" t="s">
        <v>59</v>
      </c>
      <c r="D84" t="s">
        <v>17</v>
      </c>
      <c r="E84" t="s">
        <v>74</v>
      </c>
      <c r="F84" t="s">
        <v>75</v>
      </c>
      <c r="G84" t="s">
        <v>67</v>
      </c>
      <c r="H84" t="s">
        <v>56</v>
      </c>
      <c r="I84">
        <v>3</v>
      </c>
      <c r="J84">
        <v>14608</v>
      </c>
      <c r="K84">
        <v>0.06</v>
      </c>
      <c r="L84" s="9">
        <v>41194.559999999998</v>
      </c>
      <c r="M84" s="9">
        <v>29653.81</v>
      </c>
      <c r="N84" s="9">
        <v>11540.75</v>
      </c>
      <c r="O84">
        <f>MONTH(TblSales[[#This Row],[Date]])</f>
        <v>4</v>
      </c>
      <c r="P84" t="str">
        <f>TEXT(TblSales[[#This Row],[Date]],"mmm")</f>
        <v>Apr</v>
      </c>
      <c r="Q84">
        <f>YEAR(TblSales[[#This Row],[Date]])</f>
        <v>2025</v>
      </c>
    </row>
    <row r="85" spans="1:17">
      <c r="A85" t="s">
        <v>259</v>
      </c>
      <c r="B85" s="5" t="s">
        <v>121</v>
      </c>
      <c r="C85" t="s">
        <v>52</v>
      </c>
      <c r="D85" t="s">
        <v>53</v>
      </c>
      <c r="E85" t="s">
        <v>127</v>
      </c>
      <c r="F85" t="s">
        <v>190</v>
      </c>
      <c r="G85" t="s">
        <v>28</v>
      </c>
      <c r="H85" t="s">
        <v>56</v>
      </c>
      <c r="I85">
        <v>4</v>
      </c>
      <c r="J85">
        <v>38029</v>
      </c>
      <c r="K85">
        <v>0.11</v>
      </c>
      <c r="L85" s="9">
        <v>135383.24</v>
      </c>
      <c r="M85" s="9">
        <v>97964.66</v>
      </c>
      <c r="N85" s="9">
        <v>37418.58</v>
      </c>
      <c r="O85">
        <f>MONTH(TblSales[[#This Row],[Date]])</f>
        <v>9</v>
      </c>
      <c r="P85" t="str">
        <f>TEXT(TblSales[[#This Row],[Date]],"mmm")</f>
        <v>Sep</v>
      </c>
      <c r="Q85">
        <f>YEAR(TblSales[[#This Row],[Date]])</f>
        <v>2025</v>
      </c>
    </row>
    <row r="86" spans="1:17">
      <c r="A86" t="s">
        <v>260</v>
      </c>
      <c r="B86" s="5" t="s">
        <v>231</v>
      </c>
      <c r="C86" t="s">
        <v>52</v>
      </c>
      <c r="D86" t="s">
        <v>60</v>
      </c>
      <c r="E86" t="s">
        <v>65</v>
      </c>
      <c r="F86" t="s">
        <v>237</v>
      </c>
      <c r="G86" t="s">
        <v>20</v>
      </c>
      <c r="H86" t="s">
        <v>21</v>
      </c>
      <c r="I86">
        <v>3</v>
      </c>
      <c r="J86">
        <v>36783</v>
      </c>
      <c r="K86">
        <v>0.12</v>
      </c>
      <c r="L86" s="9">
        <v>97107.12</v>
      </c>
      <c r="M86" s="9">
        <v>76111.45</v>
      </c>
      <c r="N86" s="9">
        <v>20995.67</v>
      </c>
      <c r="O86">
        <f>MONTH(TblSales[[#This Row],[Date]])</f>
        <v>1</v>
      </c>
      <c r="P86" t="str">
        <f>TEXT(TblSales[[#This Row],[Date]],"mmm")</f>
        <v>Jan</v>
      </c>
      <c r="Q86">
        <f>YEAR(TblSales[[#This Row],[Date]])</f>
        <v>2025</v>
      </c>
    </row>
    <row r="87" spans="1:17">
      <c r="A87" t="s">
        <v>261</v>
      </c>
      <c r="B87" s="5" t="s">
        <v>262</v>
      </c>
      <c r="C87" t="s">
        <v>52</v>
      </c>
      <c r="D87" t="s">
        <v>25</v>
      </c>
      <c r="E87" t="s">
        <v>81</v>
      </c>
      <c r="F87" t="s">
        <v>93</v>
      </c>
      <c r="G87" t="s">
        <v>40</v>
      </c>
      <c r="H87" t="s">
        <v>34</v>
      </c>
      <c r="I87">
        <v>4</v>
      </c>
      <c r="J87">
        <v>30034</v>
      </c>
      <c r="K87">
        <v>0.06</v>
      </c>
      <c r="L87" s="9">
        <v>112927.84</v>
      </c>
      <c r="M87" s="9">
        <v>90069.68</v>
      </c>
      <c r="N87" s="9">
        <v>22858.16</v>
      </c>
      <c r="O87">
        <f>MONTH(TblSales[[#This Row],[Date]])</f>
        <v>1</v>
      </c>
      <c r="P87" t="str">
        <f>TEXT(TblSales[[#This Row],[Date]],"mmm")</f>
        <v>Jan</v>
      </c>
      <c r="Q87">
        <f>YEAR(TblSales[[#This Row],[Date]])</f>
        <v>2025</v>
      </c>
    </row>
    <row r="88" spans="1:17">
      <c r="A88" t="s">
        <v>263</v>
      </c>
      <c r="B88" s="5" t="s">
        <v>189</v>
      </c>
      <c r="C88" t="s">
        <v>85</v>
      </c>
      <c r="D88" t="s">
        <v>25</v>
      </c>
      <c r="E88" t="s">
        <v>70</v>
      </c>
      <c r="F88" t="s">
        <v>71</v>
      </c>
      <c r="G88" t="s">
        <v>33</v>
      </c>
      <c r="H88" t="s">
        <v>29</v>
      </c>
      <c r="I88">
        <v>5</v>
      </c>
      <c r="J88">
        <v>22406</v>
      </c>
      <c r="K88">
        <v>0.15</v>
      </c>
      <c r="L88" s="9">
        <v>95225.5</v>
      </c>
      <c r="M88" s="9">
        <v>75004.7</v>
      </c>
      <c r="N88" s="9">
        <v>20220.8</v>
      </c>
      <c r="O88">
        <f>MONTH(TblSales[[#This Row],[Date]])</f>
        <v>2</v>
      </c>
      <c r="P88" t="str">
        <f>TEXT(TblSales[[#This Row],[Date]],"mmm")</f>
        <v>Feb</v>
      </c>
      <c r="Q88">
        <f>YEAR(TblSales[[#This Row],[Date]])</f>
        <v>2025</v>
      </c>
    </row>
    <row r="89" spans="1:17">
      <c r="A89" t="s">
        <v>264</v>
      </c>
      <c r="B89" s="5" t="s">
        <v>265</v>
      </c>
      <c r="C89" t="s">
        <v>32</v>
      </c>
      <c r="D89" t="s">
        <v>17</v>
      </c>
      <c r="E89" t="s">
        <v>18</v>
      </c>
      <c r="F89" t="s">
        <v>266</v>
      </c>
      <c r="G89" t="s">
        <v>67</v>
      </c>
      <c r="H89" t="s">
        <v>56</v>
      </c>
      <c r="I89">
        <v>1</v>
      </c>
      <c r="J89">
        <v>33528</v>
      </c>
      <c r="K89">
        <v>0.14000000000000001</v>
      </c>
      <c r="L89" s="9">
        <v>28834.080000000002</v>
      </c>
      <c r="M89" s="9">
        <v>24239.599999999999</v>
      </c>
      <c r="N89" s="9">
        <v>4594.4799999999996</v>
      </c>
      <c r="O89">
        <f>MONTH(TblSales[[#This Row],[Date]])</f>
        <v>2</v>
      </c>
      <c r="P89" t="str">
        <f>TEXT(TblSales[[#This Row],[Date]],"mmm")</f>
        <v>Feb</v>
      </c>
      <c r="Q89">
        <f>YEAR(TblSales[[#This Row],[Date]])</f>
        <v>2025</v>
      </c>
    </row>
    <row r="90" spans="1:17">
      <c r="A90" t="s">
        <v>267</v>
      </c>
      <c r="B90" s="5" t="s">
        <v>268</v>
      </c>
      <c r="C90" t="s">
        <v>85</v>
      </c>
      <c r="D90" t="s">
        <v>60</v>
      </c>
      <c r="E90" t="s">
        <v>61</v>
      </c>
      <c r="F90" t="s">
        <v>62</v>
      </c>
      <c r="G90" t="s">
        <v>40</v>
      </c>
      <c r="H90" t="s">
        <v>21</v>
      </c>
      <c r="I90">
        <v>2</v>
      </c>
      <c r="J90">
        <v>26722</v>
      </c>
      <c r="K90">
        <v>0.09</v>
      </c>
      <c r="L90" s="9">
        <v>48634.04</v>
      </c>
      <c r="M90" s="9">
        <v>39126.1</v>
      </c>
      <c r="N90" s="9">
        <v>9507.94</v>
      </c>
      <c r="O90">
        <f>MONTH(TblSales[[#This Row],[Date]])</f>
        <v>8</v>
      </c>
      <c r="P90" t="str">
        <f>TEXT(TblSales[[#This Row],[Date]],"mmm")</f>
        <v>Aug</v>
      </c>
      <c r="Q90">
        <f>YEAR(TblSales[[#This Row],[Date]])</f>
        <v>2025</v>
      </c>
    </row>
    <row r="91" spans="1:17">
      <c r="A91" t="s">
        <v>269</v>
      </c>
      <c r="B91" s="5" t="s">
        <v>270</v>
      </c>
      <c r="C91" t="s">
        <v>98</v>
      </c>
      <c r="D91" t="s">
        <v>17</v>
      </c>
      <c r="E91" t="s">
        <v>18</v>
      </c>
      <c r="F91" t="s">
        <v>266</v>
      </c>
      <c r="G91" t="s">
        <v>67</v>
      </c>
      <c r="H91" t="s">
        <v>21</v>
      </c>
      <c r="I91">
        <v>2</v>
      </c>
      <c r="J91">
        <v>14538</v>
      </c>
      <c r="K91">
        <v>0.13</v>
      </c>
      <c r="L91" s="9">
        <v>25296.12</v>
      </c>
      <c r="M91" s="9">
        <v>17828.55</v>
      </c>
      <c r="N91" s="9">
        <v>7467.57</v>
      </c>
      <c r="O91">
        <f>MONTH(TblSales[[#This Row],[Date]])</f>
        <v>10</v>
      </c>
      <c r="P91" t="str">
        <f>TEXT(TblSales[[#This Row],[Date]],"mmm")</f>
        <v>Oct</v>
      </c>
      <c r="Q91">
        <f>YEAR(TblSales[[#This Row],[Date]])</f>
        <v>2025</v>
      </c>
    </row>
    <row r="92" spans="1:17">
      <c r="A92" t="s">
        <v>271</v>
      </c>
      <c r="B92" s="5" t="s">
        <v>272</v>
      </c>
      <c r="C92" t="s">
        <v>16</v>
      </c>
      <c r="D92" t="s">
        <v>53</v>
      </c>
      <c r="E92" t="s">
        <v>140</v>
      </c>
      <c r="F92" t="s">
        <v>187</v>
      </c>
      <c r="G92" t="s">
        <v>108</v>
      </c>
      <c r="H92" t="s">
        <v>21</v>
      </c>
      <c r="I92">
        <v>4</v>
      </c>
      <c r="J92">
        <v>46600</v>
      </c>
      <c r="K92">
        <v>0.13</v>
      </c>
      <c r="L92" s="9">
        <v>162168</v>
      </c>
      <c r="M92" s="9">
        <v>132590.85999999999</v>
      </c>
      <c r="N92" s="9">
        <v>29577.14</v>
      </c>
      <c r="O92">
        <f>MONTH(TblSales[[#This Row],[Date]])</f>
        <v>5</v>
      </c>
      <c r="P92" t="str">
        <f>TEXT(TblSales[[#This Row],[Date]],"mmm")</f>
        <v>May</v>
      </c>
      <c r="Q92">
        <f>YEAR(TblSales[[#This Row],[Date]])</f>
        <v>2025</v>
      </c>
    </row>
    <row r="93" spans="1:17">
      <c r="A93" t="s">
        <v>273</v>
      </c>
      <c r="B93" s="5" t="s">
        <v>151</v>
      </c>
      <c r="C93" t="s">
        <v>16</v>
      </c>
      <c r="D93" t="s">
        <v>60</v>
      </c>
      <c r="E93" t="s">
        <v>65</v>
      </c>
      <c r="F93" t="s">
        <v>66</v>
      </c>
      <c r="G93" t="s">
        <v>108</v>
      </c>
      <c r="H93" t="s">
        <v>21</v>
      </c>
      <c r="I93">
        <v>4</v>
      </c>
      <c r="J93">
        <v>55142</v>
      </c>
      <c r="K93">
        <v>0.11</v>
      </c>
      <c r="L93" s="9">
        <v>196305.52</v>
      </c>
      <c r="M93" s="9">
        <v>171209.39</v>
      </c>
      <c r="N93" s="9">
        <v>25096.13</v>
      </c>
      <c r="O93">
        <f>MONTH(TblSales[[#This Row],[Date]])</f>
        <v>1</v>
      </c>
      <c r="P93" t="str">
        <f>TEXT(TblSales[[#This Row],[Date]],"mmm")</f>
        <v>Jan</v>
      </c>
      <c r="Q93">
        <f>YEAR(TblSales[[#This Row],[Date]])</f>
        <v>2025</v>
      </c>
    </row>
    <row r="94" spans="1:17">
      <c r="A94" t="s">
        <v>274</v>
      </c>
      <c r="B94" s="5" t="s">
        <v>167</v>
      </c>
      <c r="C94" t="s">
        <v>98</v>
      </c>
      <c r="D94" t="s">
        <v>17</v>
      </c>
      <c r="E94" t="s">
        <v>48</v>
      </c>
      <c r="F94" t="s">
        <v>162</v>
      </c>
      <c r="G94" t="s">
        <v>33</v>
      </c>
      <c r="H94" t="s">
        <v>21</v>
      </c>
      <c r="I94">
        <v>3</v>
      </c>
      <c r="J94">
        <v>7226</v>
      </c>
      <c r="K94">
        <v>0.14000000000000001</v>
      </c>
      <c r="L94" s="9">
        <v>18643.080000000002</v>
      </c>
      <c r="M94" s="9">
        <v>15434.23</v>
      </c>
      <c r="N94" s="9">
        <v>3208.85</v>
      </c>
      <c r="O94">
        <f>MONTH(TblSales[[#This Row],[Date]])</f>
        <v>4</v>
      </c>
      <c r="P94" t="str">
        <f>TEXT(TblSales[[#This Row],[Date]],"mmm")</f>
        <v>Apr</v>
      </c>
      <c r="Q94">
        <f>YEAR(TblSales[[#This Row],[Date]])</f>
        <v>2025</v>
      </c>
    </row>
    <row r="95" spans="1:17">
      <c r="A95" t="s">
        <v>275</v>
      </c>
      <c r="B95" s="5" t="s">
        <v>276</v>
      </c>
      <c r="C95" t="s">
        <v>37</v>
      </c>
      <c r="D95" t="s">
        <v>53</v>
      </c>
      <c r="E95" t="s">
        <v>140</v>
      </c>
      <c r="F95" t="s">
        <v>187</v>
      </c>
      <c r="G95" t="s">
        <v>20</v>
      </c>
      <c r="H95" t="s">
        <v>56</v>
      </c>
      <c r="I95">
        <v>3</v>
      </c>
      <c r="J95">
        <v>15844</v>
      </c>
      <c r="K95">
        <v>0.06</v>
      </c>
      <c r="L95" s="9">
        <v>44680.08</v>
      </c>
      <c r="M95" s="9">
        <v>31411.02</v>
      </c>
      <c r="N95" s="9">
        <v>13269.06</v>
      </c>
      <c r="O95">
        <f>MONTH(TblSales[[#This Row],[Date]])</f>
        <v>4</v>
      </c>
      <c r="P95" t="str">
        <f>TEXT(TblSales[[#This Row],[Date]],"mmm")</f>
        <v>Apr</v>
      </c>
      <c r="Q95">
        <f>YEAR(TblSales[[#This Row],[Date]])</f>
        <v>2025</v>
      </c>
    </row>
    <row r="96" spans="1:17">
      <c r="A96" t="s">
        <v>277</v>
      </c>
      <c r="B96" s="5" t="s">
        <v>278</v>
      </c>
      <c r="C96" t="s">
        <v>52</v>
      </c>
      <c r="D96" t="s">
        <v>60</v>
      </c>
      <c r="E96" t="s">
        <v>102</v>
      </c>
      <c r="F96" t="s">
        <v>103</v>
      </c>
      <c r="G96" t="s">
        <v>40</v>
      </c>
      <c r="H96" t="s">
        <v>56</v>
      </c>
      <c r="I96">
        <v>5</v>
      </c>
      <c r="J96">
        <v>31834</v>
      </c>
      <c r="K96">
        <v>0.03</v>
      </c>
      <c r="L96" s="9">
        <v>154394.9</v>
      </c>
      <c r="M96" s="9">
        <v>110993.56</v>
      </c>
      <c r="N96" s="9">
        <v>43401.34</v>
      </c>
      <c r="O96">
        <f>MONTH(TblSales[[#This Row],[Date]])</f>
        <v>6</v>
      </c>
      <c r="P96" t="str">
        <f>TEXT(TblSales[[#This Row],[Date]],"mmm")</f>
        <v>Jun</v>
      </c>
      <c r="Q96">
        <f>YEAR(TblSales[[#This Row],[Date]])</f>
        <v>2025</v>
      </c>
    </row>
    <row r="97" spans="1:17">
      <c r="A97" t="s">
        <v>279</v>
      </c>
      <c r="B97" s="5" t="s">
        <v>181</v>
      </c>
      <c r="C97" t="s">
        <v>113</v>
      </c>
      <c r="D97" t="s">
        <v>25</v>
      </c>
      <c r="E97" t="s">
        <v>43</v>
      </c>
      <c r="F97" t="s">
        <v>124</v>
      </c>
      <c r="G97" t="s">
        <v>45</v>
      </c>
      <c r="H97" t="s">
        <v>56</v>
      </c>
      <c r="I97">
        <v>3</v>
      </c>
      <c r="J97">
        <v>16697</v>
      </c>
      <c r="K97">
        <v>0.02</v>
      </c>
      <c r="L97" s="9">
        <v>49089.18</v>
      </c>
      <c r="M97" s="9">
        <v>42456.97</v>
      </c>
      <c r="N97" s="9">
        <v>6632.21</v>
      </c>
      <c r="O97">
        <f>MONTH(TblSales[[#This Row],[Date]])</f>
        <v>7</v>
      </c>
      <c r="P97" t="str">
        <f>TEXT(TblSales[[#This Row],[Date]],"mmm")</f>
        <v>Jul</v>
      </c>
      <c r="Q97">
        <f>YEAR(TblSales[[#This Row],[Date]])</f>
        <v>2025</v>
      </c>
    </row>
    <row r="98" spans="1:17">
      <c r="A98" t="s">
        <v>280</v>
      </c>
      <c r="B98" s="5" t="s">
        <v>281</v>
      </c>
      <c r="C98" t="s">
        <v>32</v>
      </c>
      <c r="D98" t="s">
        <v>60</v>
      </c>
      <c r="E98" t="s">
        <v>65</v>
      </c>
      <c r="F98" t="s">
        <v>66</v>
      </c>
      <c r="G98" t="s">
        <v>20</v>
      </c>
      <c r="H98" t="s">
        <v>29</v>
      </c>
      <c r="I98">
        <v>4</v>
      </c>
      <c r="J98">
        <v>56644</v>
      </c>
      <c r="K98">
        <v>0.14000000000000001</v>
      </c>
      <c r="L98" s="9">
        <v>194855.36</v>
      </c>
      <c r="M98" s="9">
        <v>151398.39000000001</v>
      </c>
      <c r="N98" s="9">
        <v>43456.97</v>
      </c>
      <c r="O98">
        <f>MONTH(TblSales[[#This Row],[Date]])</f>
        <v>9</v>
      </c>
      <c r="P98" t="str">
        <f>TEXT(TblSales[[#This Row],[Date]],"mmm")</f>
        <v>Sep</v>
      </c>
      <c r="Q98">
        <f>YEAR(TblSales[[#This Row],[Date]])</f>
        <v>2025</v>
      </c>
    </row>
    <row r="99" spans="1:17">
      <c r="A99" t="s">
        <v>282</v>
      </c>
      <c r="B99" s="5" t="s">
        <v>283</v>
      </c>
      <c r="C99" t="s">
        <v>85</v>
      </c>
      <c r="D99" t="s">
        <v>53</v>
      </c>
      <c r="E99" t="s">
        <v>127</v>
      </c>
      <c r="F99" t="s">
        <v>190</v>
      </c>
      <c r="G99" t="s">
        <v>33</v>
      </c>
      <c r="H99" t="s">
        <v>29</v>
      </c>
      <c r="I99">
        <v>2</v>
      </c>
      <c r="J99">
        <v>14411</v>
      </c>
      <c r="K99">
        <v>0.05</v>
      </c>
      <c r="L99" s="9">
        <v>27380.9</v>
      </c>
      <c r="M99" s="9">
        <v>24112.75</v>
      </c>
      <c r="N99" s="9">
        <v>3268.15</v>
      </c>
      <c r="O99">
        <f>MONTH(TblSales[[#This Row],[Date]])</f>
        <v>6</v>
      </c>
      <c r="P99" t="str">
        <f>TEXT(TblSales[[#This Row],[Date]],"mmm")</f>
        <v>Jun</v>
      </c>
      <c r="Q99">
        <f>YEAR(TblSales[[#This Row],[Date]])</f>
        <v>2025</v>
      </c>
    </row>
    <row r="100" spans="1:17">
      <c r="A100" t="s">
        <v>284</v>
      </c>
      <c r="B100" s="5" t="s">
        <v>285</v>
      </c>
      <c r="C100" t="s">
        <v>59</v>
      </c>
      <c r="D100" t="s">
        <v>53</v>
      </c>
      <c r="E100" t="s">
        <v>140</v>
      </c>
      <c r="F100" t="s">
        <v>141</v>
      </c>
      <c r="G100" t="s">
        <v>45</v>
      </c>
      <c r="H100" t="s">
        <v>56</v>
      </c>
      <c r="I100">
        <v>2</v>
      </c>
      <c r="J100">
        <v>8472</v>
      </c>
      <c r="K100">
        <v>0.08</v>
      </c>
      <c r="L100" s="9">
        <v>15588.48</v>
      </c>
      <c r="M100" s="9">
        <v>11407.19</v>
      </c>
      <c r="N100" s="9">
        <v>4181.29</v>
      </c>
      <c r="O100">
        <f>MONTH(TblSales[[#This Row],[Date]])</f>
        <v>6</v>
      </c>
      <c r="P100" t="str">
        <f>TEXT(TblSales[[#This Row],[Date]],"mmm")</f>
        <v>Jun</v>
      </c>
      <c r="Q100">
        <f>YEAR(TblSales[[#This Row],[Date]])</f>
        <v>2025</v>
      </c>
    </row>
    <row r="101" spans="1:17">
      <c r="A101" t="s">
        <v>286</v>
      </c>
      <c r="B101" s="5" t="s">
        <v>287</v>
      </c>
      <c r="C101" t="s">
        <v>59</v>
      </c>
      <c r="D101" t="s">
        <v>53</v>
      </c>
      <c r="E101" t="s">
        <v>54</v>
      </c>
      <c r="F101" t="s">
        <v>225</v>
      </c>
      <c r="G101" t="s">
        <v>45</v>
      </c>
      <c r="H101" t="s">
        <v>29</v>
      </c>
      <c r="I101">
        <v>3</v>
      </c>
      <c r="J101">
        <v>3307</v>
      </c>
      <c r="K101">
        <v>0.09</v>
      </c>
      <c r="L101" s="9">
        <v>9028.11</v>
      </c>
      <c r="M101" s="9">
        <v>7280.6</v>
      </c>
      <c r="N101" s="9">
        <v>1747.51</v>
      </c>
      <c r="O101">
        <f>MONTH(TblSales[[#This Row],[Date]])</f>
        <v>1</v>
      </c>
      <c r="P101" t="str">
        <f>TEXT(TblSales[[#This Row],[Date]],"mmm")</f>
        <v>Jan</v>
      </c>
      <c r="Q101">
        <f>YEAR(TblSales[[#This Row],[Date]])</f>
        <v>2025</v>
      </c>
    </row>
    <row r="102" spans="1:17">
      <c r="A102" t="s">
        <v>288</v>
      </c>
      <c r="B102" s="5" t="s">
        <v>289</v>
      </c>
      <c r="C102" t="s">
        <v>24</v>
      </c>
      <c r="D102" t="s">
        <v>53</v>
      </c>
      <c r="E102" t="s">
        <v>127</v>
      </c>
      <c r="F102" t="s">
        <v>128</v>
      </c>
      <c r="G102" t="s">
        <v>20</v>
      </c>
      <c r="H102" t="s">
        <v>21</v>
      </c>
      <c r="I102">
        <v>2</v>
      </c>
      <c r="J102">
        <v>28952</v>
      </c>
      <c r="K102">
        <v>7.0000000000000007E-2</v>
      </c>
      <c r="L102" s="9">
        <v>53850.720000000001</v>
      </c>
      <c r="M102" s="9">
        <v>43101.88</v>
      </c>
      <c r="N102" s="9">
        <v>10748.84</v>
      </c>
      <c r="O102">
        <f>MONTH(TblSales[[#This Row],[Date]])</f>
        <v>5</v>
      </c>
      <c r="P102" t="str">
        <f>TEXT(TblSales[[#This Row],[Date]],"mmm")</f>
        <v>May</v>
      </c>
      <c r="Q102">
        <f>YEAR(TblSales[[#This Row],[Date]])</f>
        <v>2025</v>
      </c>
    </row>
    <row r="103" spans="1:17">
      <c r="A103" t="s">
        <v>290</v>
      </c>
      <c r="B103" s="5" t="s">
        <v>151</v>
      </c>
      <c r="C103" t="s">
        <v>32</v>
      </c>
      <c r="D103" t="s">
        <v>60</v>
      </c>
      <c r="E103" t="s">
        <v>106</v>
      </c>
      <c r="F103" t="s">
        <v>174</v>
      </c>
      <c r="G103" t="s">
        <v>45</v>
      </c>
      <c r="H103" t="s">
        <v>21</v>
      </c>
      <c r="I103">
        <v>2</v>
      </c>
      <c r="J103">
        <v>53323</v>
      </c>
      <c r="K103">
        <v>0.11</v>
      </c>
      <c r="L103" s="9">
        <v>94914.94</v>
      </c>
      <c r="M103" s="9">
        <v>80083.740000000005</v>
      </c>
      <c r="N103" s="9">
        <v>14831.2</v>
      </c>
      <c r="O103">
        <f>MONTH(TblSales[[#This Row],[Date]])</f>
        <v>1</v>
      </c>
      <c r="P103" t="str">
        <f>TEXT(TblSales[[#This Row],[Date]],"mmm")</f>
        <v>Jan</v>
      </c>
      <c r="Q103">
        <f>YEAR(TblSales[[#This Row],[Date]])</f>
        <v>2025</v>
      </c>
    </row>
    <row r="104" spans="1:17">
      <c r="A104" t="s">
        <v>291</v>
      </c>
      <c r="B104" s="5" t="s">
        <v>292</v>
      </c>
      <c r="C104" t="s">
        <v>89</v>
      </c>
      <c r="D104" t="s">
        <v>17</v>
      </c>
      <c r="E104" t="s">
        <v>38</v>
      </c>
      <c r="F104" t="s">
        <v>96</v>
      </c>
      <c r="G104" t="s">
        <v>40</v>
      </c>
      <c r="H104" t="s">
        <v>34</v>
      </c>
      <c r="I104">
        <v>3</v>
      </c>
      <c r="J104">
        <v>10886</v>
      </c>
      <c r="K104">
        <v>0.06</v>
      </c>
      <c r="L104" s="9">
        <v>30698.52</v>
      </c>
      <c r="M104" s="9">
        <v>26399.75</v>
      </c>
      <c r="N104" s="9">
        <v>4298.7700000000004</v>
      </c>
      <c r="O104">
        <f>MONTH(TblSales[[#This Row],[Date]])</f>
        <v>5</v>
      </c>
      <c r="P104" t="str">
        <f>TEXT(TblSales[[#This Row],[Date]],"mmm")</f>
        <v>May</v>
      </c>
      <c r="Q104">
        <f>YEAR(TblSales[[#This Row],[Date]])</f>
        <v>2025</v>
      </c>
    </row>
    <row r="105" spans="1:17">
      <c r="A105" t="s">
        <v>293</v>
      </c>
      <c r="B105" s="5" t="s">
        <v>294</v>
      </c>
      <c r="C105" t="s">
        <v>89</v>
      </c>
      <c r="D105" t="s">
        <v>60</v>
      </c>
      <c r="E105" t="s">
        <v>61</v>
      </c>
      <c r="F105" t="s">
        <v>154</v>
      </c>
      <c r="G105" t="s">
        <v>119</v>
      </c>
      <c r="H105" t="s">
        <v>34</v>
      </c>
      <c r="I105">
        <v>4</v>
      </c>
      <c r="J105">
        <v>41689</v>
      </c>
      <c r="K105">
        <v>0.04</v>
      </c>
      <c r="L105" s="9">
        <v>160085.76000000001</v>
      </c>
      <c r="M105" s="9">
        <v>136228.45000000001</v>
      </c>
      <c r="N105" s="9">
        <v>23857.31</v>
      </c>
      <c r="O105">
        <f>MONTH(TblSales[[#This Row],[Date]])</f>
        <v>2</v>
      </c>
      <c r="P105" t="str">
        <f>TEXT(TblSales[[#This Row],[Date]],"mmm")</f>
        <v>Feb</v>
      </c>
      <c r="Q105">
        <f>YEAR(TblSales[[#This Row],[Date]])</f>
        <v>2025</v>
      </c>
    </row>
    <row r="106" spans="1:17">
      <c r="A106" t="s">
        <v>295</v>
      </c>
      <c r="B106" s="5" t="s">
        <v>176</v>
      </c>
      <c r="C106" t="s">
        <v>89</v>
      </c>
      <c r="D106" t="s">
        <v>25</v>
      </c>
      <c r="E106" t="s">
        <v>26</v>
      </c>
      <c r="F106" t="s">
        <v>27</v>
      </c>
      <c r="G106" t="s">
        <v>33</v>
      </c>
      <c r="H106" t="s">
        <v>56</v>
      </c>
      <c r="I106">
        <v>2</v>
      </c>
      <c r="J106">
        <v>12777</v>
      </c>
      <c r="K106">
        <v>0.15</v>
      </c>
      <c r="L106" s="9">
        <v>21720.9</v>
      </c>
      <c r="M106" s="9">
        <v>18482.48</v>
      </c>
      <c r="N106" s="9">
        <v>3238.42</v>
      </c>
      <c r="O106">
        <f>MONTH(TblSales[[#This Row],[Date]])</f>
        <v>10</v>
      </c>
      <c r="P106" t="str">
        <f>TEXT(TblSales[[#This Row],[Date]],"mmm")</f>
        <v>Oct</v>
      </c>
      <c r="Q106">
        <f>YEAR(TblSales[[#This Row],[Date]])</f>
        <v>2025</v>
      </c>
    </row>
    <row r="107" spans="1:17">
      <c r="A107" t="s">
        <v>296</v>
      </c>
      <c r="B107" s="5" t="s">
        <v>297</v>
      </c>
      <c r="C107" t="s">
        <v>98</v>
      </c>
      <c r="D107" t="s">
        <v>17</v>
      </c>
      <c r="E107" t="s">
        <v>18</v>
      </c>
      <c r="F107" t="s">
        <v>298</v>
      </c>
      <c r="G107" t="s">
        <v>20</v>
      </c>
      <c r="H107" t="s">
        <v>34</v>
      </c>
      <c r="I107">
        <v>4</v>
      </c>
      <c r="J107">
        <v>19157</v>
      </c>
      <c r="K107">
        <v>0.13</v>
      </c>
      <c r="L107" s="9">
        <v>66666.36</v>
      </c>
      <c r="M107" s="9">
        <v>59280.12</v>
      </c>
      <c r="N107" s="9">
        <v>7386.24</v>
      </c>
      <c r="O107">
        <f>MONTH(TblSales[[#This Row],[Date]])</f>
        <v>6</v>
      </c>
      <c r="P107" t="str">
        <f>TEXT(TblSales[[#This Row],[Date]],"mmm")</f>
        <v>Jun</v>
      </c>
      <c r="Q107">
        <f>YEAR(TblSales[[#This Row],[Date]])</f>
        <v>2025</v>
      </c>
    </row>
    <row r="108" spans="1:17">
      <c r="A108" t="s">
        <v>299</v>
      </c>
      <c r="B108" s="5" t="s">
        <v>300</v>
      </c>
      <c r="C108" t="s">
        <v>16</v>
      </c>
      <c r="D108" t="s">
        <v>25</v>
      </c>
      <c r="E108" t="s">
        <v>70</v>
      </c>
      <c r="F108" t="s">
        <v>71</v>
      </c>
      <c r="G108" t="s">
        <v>20</v>
      </c>
      <c r="H108" t="s">
        <v>34</v>
      </c>
      <c r="I108">
        <v>1</v>
      </c>
      <c r="J108">
        <v>15818</v>
      </c>
      <c r="K108">
        <v>0.09</v>
      </c>
      <c r="L108" s="9">
        <v>14394.38</v>
      </c>
      <c r="M108" s="9">
        <v>10880.98</v>
      </c>
      <c r="N108" s="9">
        <v>3513.4</v>
      </c>
      <c r="O108">
        <f>MONTH(TblSales[[#This Row],[Date]])</f>
        <v>5</v>
      </c>
      <c r="P108" t="str">
        <f>TEXT(TblSales[[#This Row],[Date]],"mmm")</f>
        <v>May</v>
      </c>
      <c r="Q108">
        <f>YEAR(TblSales[[#This Row],[Date]])</f>
        <v>2025</v>
      </c>
    </row>
    <row r="109" spans="1:17">
      <c r="A109" t="s">
        <v>301</v>
      </c>
      <c r="B109" s="5" t="s">
        <v>302</v>
      </c>
      <c r="C109" t="s">
        <v>98</v>
      </c>
      <c r="D109" t="s">
        <v>60</v>
      </c>
      <c r="E109" t="s">
        <v>102</v>
      </c>
      <c r="F109" t="s">
        <v>303</v>
      </c>
      <c r="G109" t="s">
        <v>28</v>
      </c>
      <c r="H109" t="s">
        <v>21</v>
      </c>
      <c r="I109">
        <v>1</v>
      </c>
      <c r="J109">
        <v>24812</v>
      </c>
      <c r="K109">
        <v>0.15</v>
      </c>
      <c r="L109" s="9">
        <v>21090.2</v>
      </c>
      <c r="M109" s="9">
        <v>16169.93</v>
      </c>
      <c r="N109" s="9">
        <v>4920.2700000000004</v>
      </c>
      <c r="O109">
        <f>MONTH(TblSales[[#This Row],[Date]])</f>
        <v>9</v>
      </c>
      <c r="P109" t="str">
        <f>TEXT(TblSales[[#This Row],[Date]],"mmm")</f>
        <v>Sep</v>
      </c>
      <c r="Q109">
        <f>YEAR(TblSales[[#This Row],[Date]])</f>
        <v>2025</v>
      </c>
    </row>
    <row r="110" spans="1:17">
      <c r="A110" t="s">
        <v>304</v>
      </c>
      <c r="B110" s="5" t="s">
        <v>305</v>
      </c>
      <c r="C110" t="s">
        <v>89</v>
      </c>
      <c r="D110" t="s">
        <v>53</v>
      </c>
      <c r="E110" t="s">
        <v>148</v>
      </c>
      <c r="F110" t="s">
        <v>242</v>
      </c>
      <c r="G110" t="s">
        <v>28</v>
      </c>
      <c r="H110" t="s">
        <v>56</v>
      </c>
      <c r="I110">
        <v>4</v>
      </c>
      <c r="J110">
        <v>7893</v>
      </c>
      <c r="K110">
        <v>0.08</v>
      </c>
      <c r="L110" s="9">
        <v>29046.240000000002</v>
      </c>
      <c r="M110" s="9">
        <v>25460.36</v>
      </c>
      <c r="N110" s="9">
        <v>3585.88</v>
      </c>
      <c r="O110">
        <f>MONTH(TblSales[[#This Row],[Date]])</f>
        <v>3</v>
      </c>
      <c r="P110" t="str">
        <f>TEXT(TblSales[[#This Row],[Date]],"mmm")</f>
        <v>Mar</v>
      </c>
      <c r="Q110">
        <f>YEAR(TblSales[[#This Row],[Date]])</f>
        <v>2025</v>
      </c>
    </row>
    <row r="111" spans="1:17">
      <c r="A111" t="s">
        <v>306</v>
      </c>
      <c r="B111" s="5" t="s">
        <v>307</v>
      </c>
      <c r="C111" t="s">
        <v>98</v>
      </c>
      <c r="D111" t="s">
        <v>53</v>
      </c>
      <c r="E111" t="s">
        <v>140</v>
      </c>
      <c r="F111" t="s">
        <v>165</v>
      </c>
      <c r="G111" t="s">
        <v>67</v>
      </c>
      <c r="H111" t="s">
        <v>21</v>
      </c>
      <c r="I111">
        <v>3</v>
      </c>
      <c r="J111">
        <v>44923</v>
      </c>
      <c r="K111">
        <v>0.13</v>
      </c>
      <c r="L111" s="9">
        <v>117249.03</v>
      </c>
      <c r="M111" s="9">
        <v>85468.27</v>
      </c>
      <c r="N111" s="9">
        <v>31780.76</v>
      </c>
      <c r="O111">
        <f>MONTH(TblSales[[#This Row],[Date]])</f>
        <v>1</v>
      </c>
      <c r="P111" t="str">
        <f>TEXT(TblSales[[#This Row],[Date]],"mmm")</f>
        <v>Jan</v>
      </c>
      <c r="Q111">
        <f>YEAR(TblSales[[#This Row],[Date]])</f>
        <v>2025</v>
      </c>
    </row>
    <row r="112" spans="1:17">
      <c r="A112" t="s">
        <v>308</v>
      </c>
      <c r="B112" s="5" t="s">
        <v>309</v>
      </c>
      <c r="C112" t="s">
        <v>52</v>
      </c>
      <c r="D112" t="s">
        <v>60</v>
      </c>
      <c r="E112" t="s">
        <v>61</v>
      </c>
      <c r="F112" t="s">
        <v>310</v>
      </c>
      <c r="G112" t="s">
        <v>108</v>
      </c>
      <c r="H112" t="s">
        <v>21</v>
      </c>
      <c r="I112">
        <v>3</v>
      </c>
      <c r="J112">
        <v>3834</v>
      </c>
      <c r="K112">
        <v>0.1</v>
      </c>
      <c r="L112" s="9">
        <v>10351.799999999999</v>
      </c>
      <c r="M112" s="9">
        <v>7376.87</v>
      </c>
      <c r="N112" s="9">
        <v>2974.93</v>
      </c>
      <c r="O112">
        <f>MONTH(TblSales[[#This Row],[Date]])</f>
        <v>2</v>
      </c>
      <c r="P112" t="str">
        <f>TEXT(TblSales[[#This Row],[Date]],"mmm")</f>
        <v>Feb</v>
      </c>
      <c r="Q112">
        <f>YEAR(TblSales[[#This Row],[Date]])</f>
        <v>2025</v>
      </c>
    </row>
    <row r="113" spans="1:17">
      <c r="A113" t="s">
        <v>311</v>
      </c>
      <c r="B113" s="5" t="s">
        <v>302</v>
      </c>
      <c r="C113" t="s">
        <v>16</v>
      </c>
      <c r="D113" t="s">
        <v>17</v>
      </c>
      <c r="E113" t="s">
        <v>18</v>
      </c>
      <c r="F113" t="s">
        <v>266</v>
      </c>
      <c r="G113" t="s">
        <v>45</v>
      </c>
      <c r="H113" t="s">
        <v>56</v>
      </c>
      <c r="I113">
        <v>1</v>
      </c>
      <c r="J113">
        <v>16453</v>
      </c>
      <c r="K113">
        <v>0.06</v>
      </c>
      <c r="L113" s="9">
        <v>15465.82</v>
      </c>
      <c r="M113" s="9">
        <v>11571.24</v>
      </c>
      <c r="N113" s="9">
        <v>3894.58</v>
      </c>
      <c r="O113">
        <f>MONTH(TblSales[[#This Row],[Date]])</f>
        <v>9</v>
      </c>
      <c r="P113" t="str">
        <f>TEXT(TblSales[[#This Row],[Date]],"mmm")</f>
        <v>Sep</v>
      </c>
      <c r="Q113">
        <f>YEAR(TblSales[[#This Row],[Date]])</f>
        <v>2025</v>
      </c>
    </row>
    <row r="114" spans="1:17">
      <c r="A114" t="s">
        <v>312</v>
      </c>
      <c r="B114" s="5" t="s">
        <v>252</v>
      </c>
      <c r="C114" t="s">
        <v>59</v>
      </c>
      <c r="D114" t="s">
        <v>25</v>
      </c>
      <c r="E114" t="s">
        <v>81</v>
      </c>
      <c r="F114" t="s">
        <v>93</v>
      </c>
      <c r="G114" t="s">
        <v>119</v>
      </c>
      <c r="H114" t="s">
        <v>29</v>
      </c>
      <c r="I114">
        <v>5</v>
      </c>
      <c r="J114">
        <v>40207</v>
      </c>
      <c r="K114">
        <v>0.08</v>
      </c>
      <c r="L114" s="9">
        <v>184952.2</v>
      </c>
      <c r="M114" s="9">
        <v>142387.94</v>
      </c>
      <c r="N114" s="9">
        <v>42564.26</v>
      </c>
      <c r="O114">
        <f>MONTH(TblSales[[#This Row],[Date]])</f>
        <v>1</v>
      </c>
      <c r="P114" t="str">
        <f>TEXT(TblSales[[#This Row],[Date]],"mmm")</f>
        <v>Jan</v>
      </c>
      <c r="Q114">
        <f>YEAR(TblSales[[#This Row],[Date]])</f>
        <v>2025</v>
      </c>
    </row>
    <row r="115" spans="1:17">
      <c r="A115" t="s">
        <v>313</v>
      </c>
      <c r="B115" s="5" t="s">
        <v>158</v>
      </c>
      <c r="C115" t="s">
        <v>24</v>
      </c>
      <c r="D115" t="s">
        <v>17</v>
      </c>
      <c r="E115" t="s">
        <v>18</v>
      </c>
      <c r="F115" t="s">
        <v>19</v>
      </c>
      <c r="G115" t="s">
        <v>45</v>
      </c>
      <c r="H115" t="s">
        <v>21</v>
      </c>
      <c r="I115">
        <v>3</v>
      </c>
      <c r="J115">
        <v>25274</v>
      </c>
      <c r="K115">
        <v>0.1</v>
      </c>
      <c r="L115" s="9">
        <v>68239.8</v>
      </c>
      <c r="M115" s="9">
        <v>56337.51</v>
      </c>
      <c r="N115" s="9">
        <v>11902.29</v>
      </c>
      <c r="O115">
        <f>MONTH(TblSales[[#This Row],[Date]])</f>
        <v>4</v>
      </c>
      <c r="P115" t="str">
        <f>TEXT(TblSales[[#This Row],[Date]],"mmm")</f>
        <v>Apr</v>
      </c>
      <c r="Q115">
        <f>YEAR(TblSales[[#This Row],[Date]])</f>
        <v>2025</v>
      </c>
    </row>
    <row r="116" spans="1:17">
      <c r="A116" t="s">
        <v>314</v>
      </c>
      <c r="B116" s="5" t="s">
        <v>315</v>
      </c>
      <c r="C116" t="s">
        <v>59</v>
      </c>
      <c r="D116" t="s">
        <v>53</v>
      </c>
      <c r="E116" t="s">
        <v>54</v>
      </c>
      <c r="F116" t="s">
        <v>78</v>
      </c>
      <c r="G116" t="s">
        <v>108</v>
      </c>
      <c r="H116" t="s">
        <v>21</v>
      </c>
      <c r="I116">
        <v>4</v>
      </c>
      <c r="J116">
        <v>54402</v>
      </c>
      <c r="K116">
        <v>0.13</v>
      </c>
      <c r="L116" s="9">
        <v>189318.96</v>
      </c>
      <c r="M116" s="9">
        <v>145032.26</v>
      </c>
      <c r="N116" s="9">
        <v>44286.7</v>
      </c>
      <c r="O116">
        <f>MONTH(TblSales[[#This Row],[Date]])</f>
        <v>7</v>
      </c>
      <c r="P116" t="str">
        <f>TEXT(TblSales[[#This Row],[Date]],"mmm")</f>
        <v>Jul</v>
      </c>
      <c r="Q116">
        <f>YEAR(TblSales[[#This Row],[Date]])</f>
        <v>2025</v>
      </c>
    </row>
    <row r="117" spans="1:17">
      <c r="A117" t="s">
        <v>316</v>
      </c>
      <c r="B117" s="5" t="s">
        <v>317</v>
      </c>
      <c r="C117" t="s">
        <v>37</v>
      </c>
      <c r="D117" t="s">
        <v>25</v>
      </c>
      <c r="E117" t="s">
        <v>81</v>
      </c>
      <c r="F117" t="s">
        <v>93</v>
      </c>
      <c r="G117" t="s">
        <v>45</v>
      </c>
      <c r="H117" t="s">
        <v>34</v>
      </c>
      <c r="I117">
        <v>1</v>
      </c>
      <c r="J117">
        <v>7121</v>
      </c>
      <c r="K117">
        <v>0.14000000000000001</v>
      </c>
      <c r="L117" s="9">
        <v>6124.06</v>
      </c>
      <c r="M117" s="9">
        <v>5345.36</v>
      </c>
      <c r="N117" s="9">
        <v>778.7</v>
      </c>
      <c r="O117">
        <f>MONTH(TblSales[[#This Row],[Date]])</f>
        <v>9</v>
      </c>
      <c r="P117" t="str">
        <f>TEXT(TblSales[[#This Row],[Date]],"mmm")</f>
        <v>Sep</v>
      </c>
      <c r="Q117">
        <f>YEAR(TblSales[[#This Row],[Date]])</f>
        <v>2025</v>
      </c>
    </row>
    <row r="118" spans="1:17">
      <c r="A118" t="s">
        <v>318</v>
      </c>
      <c r="B118" s="5" t="s">
        <v>319</v>
      </c>
      <c r="C118" t="s">
        <v>98</v>
      </c>
      <c r="D118" t="s">
        <v>25</v>
      </c>
      <c r="E118" t="s">
        <v>70</v>
      </c>
      <c r="F118" t="s">
        <v>320</v>
      </c>
      <c r="G118" t="s">
        <v>28</v>
      </c>
      <c r="H118" t="s">
        <v>29</v>
      </c>
      <c r="I118">
        <v>5</v>
      </c>
      <c r="J118">
        <v>8439</v>
      </c>
      <c r="K118">
        <v>0.06</v>
      </c>
      <c r="L118" s="9">
        <v>39663.300000000003</v>
      </c>
      <c r="M118" s="9">
        <v>31575.25</v>
      </c>
      <c r="N118" s="9">
        <v>8088.05</v>
      </c>
      <c r="O118">
        <f>MONTH(TblSales[[#This Row],[Date]])</f>
        <v>3</v>
      </c>
      <c r="P118" t="str">
        <f>TEXT(TblSales[[#This Row],[Date]],"mmm")</f>
        <v>Mar</v>
      </c>
      <c r="Q118">
        <f>YEAR(TblSales[[#This Row],[Date]])</f>
        <v>2025</v>
      </c>
    </row>
    <row r="119" spans="1:17">
      <c r="A119" t="s">
        <v>321</v>
      </c>
      <c r="B119" s="5" t="s">
        <v>73</v>
      </c>
      <c r="C119" t="s">
        <v>16</v>
      </c>
      <c r="D119" t="s">
        <v>53</v>
      </c>
      <c r="E119" t="s">
        <v>148</v>
      </c>
      <c r="F119" t="s">
        <v>149</v>
      </c>
      <c r="G119" t="s">
        <v>40</v>
      </c>
      <c r="H119" t="s">
        <v>21</v>
      </c>
      <c r="I119">
        <v>1</v>
      </c>
      <c r="J119">
        <v>50379</v>
      </c>
      <c r="K119">
        <v>0.03</v>
      </c>
      <c r="L119" s="9">
        <v>48867.63</v>
      </c>
      <c r="M119" s="9">
        <v>43613.3</v>
      </c>
      <c r="N119" s="9">
        <v>5254.33</v>
      </c>
      <c r="O119">
        <f>MONTH(TblSales[[#This Row],[Date]])</f>
        <v>4</v>
      </c>
      <c r="P119" t="str">
        <f>TEXT(TblSales[[#This Row],[Date]],"mmm")</f>
        <v>Apr</v>
      </c>
      <c r="Q119">
        <f>YEAR(TblSales[[#This Row],[Date]])</f>
        <v>2025</v>
      </c>
    </row>
    <row r="120" spans="1:17">
      <c r="A120" t="s">
        <v>322</v>
      </c>
      <c r="B120" s="5" t="s">
        <v>323</v>
      </c>
      <c r="C120" t="s">
        <v>37</v>
      </c>
      <c r="D120" t="s">
        <v>25</v>
      </c>
      <c r="E120" t="s">
        <v>81</v>
      </c>
      <c r="F120" t="s">
        <v>93</v>
      </c>
      <c r="G120" t="s">
        <v>45</v>
      </c>
      <c r="H120" t="s">
        <v>29</v>
      </c>
      <c r="I120">
        <v>1</v>
      </c>
      <c r="J120">
        <v>35233</v>
      </c>
      <c r="K120">
        <v>0.14000000000000001</v>
      </c>
      <c r="L120" s="9">
        <v>30300.38</v>
      </c>
      <c r="M120" s="9">
        <v>23920.78</v>
      </c>
      <c r="N120" s="9">
        <v>6379.6</v>
      </c>
      <c r="O120">
        <f>MONTH(TblSales[[#This Row],[Date]])</f>
        <v>1</v>
      </c>
      <c r="P120" t="str">
        <f>TEXT(TblSales[[#This Row],[Date]],"mmm")</f>
        <v>Jan</v>
      </c>
      <c r="Q120">
        <f>YEAR(TblSales[[#This Row],[Date]])</f>
        <v>2025</v>
      </c>
    </row>
    <row r="121" spans="1:17">
      <c r="A121" t="s">
        <v>324</v>
      </c>
      <c r="B121" s="5" t="s">
        <v>325</v>
      </c>
      <c r="C121" t="s">
        <v>98</v>
      </c>
      <c r="D121" t="s">
        <v>17</v>
      </c>
      <c r="E121" t="s">
        <v>48</v>
      </c>
      <c r="F121" t="s">
        <v>162</v>
      </c>
      <c r="G121" t="s">
        <v>67</v>
      </c>
      <c r="H121" t="s">
        <v>21</v>
      </c>
      <c r="I121">
        <v>5</v>
      </c>
      <c r="J121">
        <v>50883</v>
      </c>
      <c r="K121">
        <v>7.0000000000000007E-2</v>
      </c>
      <c r="L121" s="9">
        <v>236605.95</v>
      </c>
      <c r="M121" s="9">
        <v>179034.84</v>
      </c>
      <c r="N121" s="9">
        <v>57571.11</v>
      </c>
      <c r="O121">
        <f>MONTH(TblSales[[#This Row],[Date]])</f>
        <v>3</v>
      </c>
      <c r="P121" t="str">
        <f>TEXT(TblSales[[#This Row],[Date]],"mmm")</f>
        <v>Mar</v>
      </c>
      <c r="Q121">
        <f>YEAR(TblSales[[#This Row],[Date]])</f>
        <v>2025</v>
      </c>
    </row>
    <row r="122" spans="1:17">
      <c r="A122" t="s">
        <v>326</v>
      </c>
      <c r="B122" s="5" t="s">
        <v>178</v>
      </c>
      <c r="C122" t="s">
        <v>37</v>
      </c>
      <c r="D122" t="s">
        <v>53</v>
      </c>
      <c r="E122" t="s">
        <v>54</v>
      </c>
      <c r="F122" t="s">
        <v>116</v>
      </c>
      <c r="G122" t="s">
        <v>67</v>
      </c>
      <c r="H122" t="s">
        <v>21</v>
      </c>
      <c r="I122">
        <v>1</v>
      </c>
      <c r="J122">
        <v>35541</v>
      </c>
      <c r="K122">
        <v>0.02</v>
      </c>
      <c r="L122" s="9">
        <v>34830.18</v>
      </c>
      <c r="M122" s="9">
        <v>25871.35</v>
      </c>
      <c r="N122" s="9">
        <v>8958.83</v>
      </c>
      <c r="O122">
        <f>MONTH(TblSales[[#This Row],[Date]])</f>
        <v>7</v>
      </c>
      <c r="P122" t="str">
        <f>TEXT(TblSales[[#This Row],[Date]],"mmm")</f>
        <v>Jul</v>
      </c>
      <c r="Q122">
        <f>YEAR(TblSales[[#This Row],[Date]])</f>
        <v>2025</v>
      </c>
    </row>
    <row r="123" spans="1:17">
      <c r="A123" t="s">
        <v>327</v>
      </c>
      <c r="B123" s="5" t="s">
        <v>328</v>
      </c>
      <c r="C123" t="s">
        <v>113</v>
      </c>
      <c r="D123" t="s">
        <v>53</v>
      </c>
      <c r="E123" t="s">
        <v>140</v>
      </c>
      <c r="F123" t="s">
        <v>165</v>
      </c>
      <c r="G123" t="s">
        <v>40</v>
      </c>
      <c r="H123" t="s">
        <v>56</v>
      </c>
      <c r="I123">
        <v>2</v>
      </c>
      <c r="J123">
        <v>27525</v>
      </c>
      <c r="K123">
        <v>0.13</v>
      </c>
      <c r="L123" s="9">
        <v>47893.5</v>
      </c>
      <c r="M123" s="9">
        <v>38437.379999999997</v>
      </c>
      <c r="N123" s="9">
        <v>9456.1200000000008</v>
      </c>
      <c r="O123">
        <f>MONTH(TblSales[[#This Row],[Date]])</f>
        <v>10</v>
      </c>
      <c r="P123" t="str">
        <f>TEXT(TblSales[[#This Row],[Date]],"mmm")</f>
        <v>Oct</v>
      </c>
      <c r="Q123">
        <f>YEAR(TblSales[[#This Row],[Date]])</f>
        <v>2025</v>
      </c>
    </row>
    <row r="124" spans="1:17">
      <c r="A124" t="s">
        <v>329</v>
      </c>
      <c r="B124" s="5" t="s">
        <v>330</v>
      </c>
      <c r="C124" t="s">
        <v>32</v>
      </c>
      <c r="D124" t="s">
        <v>17</v>
      </c>
      <c r="E124" t="s">
        <v>48</v>
      </c>
      <c r="F124" t="s">
        <v>162</v>
      </c>
      <c r="G124" t="s">
        <v>67</v>
      </c>
      <c r="H124" t="s">
        <v>29</v>
      </c>
      <c r="I124">
        <v>4</v>
      </c>
      <c r="J124">
        <v>52344</v>
      </c>
      <c r="K124">
        <v>7.0000000000000007E-2</v>
      </c>
      <c r="L124" s="9">
        <v>194719.68</v>
      </c>
      <c r="M124" s="9">
        <v>146225.10999999999</v>
      </c>
      <c r="N124" s="9">
        <v>48494.57</v>
      </c>
      <c r="O124">
        <f>MONTH(TblSales[[#This Row],[Date]])</f>
        <v>7</v>
      </c>
      <c r="P124" t="str">
        <f>TEXT(TblSales[[#This Row],[Date]],"mmm")</f>
        <v>Jul</v>
      </c>
      <c r="Q124">
        <f>YEAR(TblSales[[#This Row],[Date]])</f>
        <v>2025</v>
      </c>
    </row>
    <row r="125" spans="1:17">
      <c r="A125" t="s">
        <v>331</v>
      </c>
      <c r="B125" s="5" t="s">
        <v>332</v>
      </c>
      <c r="C125" t="s">
        <v>16</v>
      </c>
      <c r="D125" t="s">
        <v>17</v>
      </c>
      <c r="E125" t="s">
        <v>48</v>
      </c>
      <c r="F125" t="s">
        <v>49</v>
      </c>
      <c r="G125" t="s">
        <v>67</v>
      </c>
      <c r="H125" t="s">
        <v>21</v>
      </c>
      <c r="I125">
        <v>1</v>
      </c>
      <c r="J125">
        <v>31515</v>
      </c>
      <c r="K125">
        <v>0.1</v>
      </c>
      <c r="L125" s="9">
        <v>28363.5</v>
      </c>
      <c r="M125" s="9">
        <v>19892.86</v>
      </c>
      <c r="N125" s="9">
        <v>8470.64</v>
      </c>
      <c r="O125">
        <f>MONTH(TblSales[[#This Row],[Date]])</f>
        <v>7</v>
      </c>
      <c r="P125" t="str">
        <f>TEXT(TblSales[[#This Row],[Date]],"mmm")</f>
        <v>Jul</v>
      </c>
      <c r="Q125">
        <f>YEAR(TblSales[[#This Row],[Date]])</f>
        <v>2025</v>
      </c>
    </row>
    <row r="126" spans="1:17">
      <c r="A126" t="s">
        <v>333</v>
      </c>
      <c r="B126" s="5" t="s">
        <v>84</v>
      </c>
      <c r="C126" t="s">
        <v>89</v>
      </c>
      <c r="D126" t="s">
        <v>25</v>
      </c>
      <c r="E126" t="s">
        <v>81</v>
      </c>
      <c r="F126" t="s">
        <v>93</v>
      </c>
      <c r="G126" t="s">
        <v>119</v>
      </c>
      <c r="H126" t="s">
        <v>34</v>
      </c>
      <c r="I126">
        <v>2</v>
      </c>
      <c r="J126">
        <v>11848</v>
      </c>
      <c r="K126">
        <v>0.05</v>
      </c>
      <c r="L126" s="9">
        <v>22511.200000000001</v>
      </c>
      <c r="M126" s="9">
        <v>17915.93</v>
      </c>
      <c r="N126" s="9">
        <v>4595.2700000000004</v>
      </c>
      <c r="O126">
        <f>MONTH(TblSales[[#This Row],[Date]])</f>
        <v>9</v>
      </c>
      <c r="P126" t="str">
        <f>TEXT(TblSales[[#This Row],[Date]],"mmm")</f>
        <v>Sep</v>
      </c>
      <c r="Q126">
        <f>YEAR(TblSales[[#This Row],[Date]])</f>
        <v>2025</v>
      </c>
    </row>
    <row r="127" spans="1:17">
      <c r="A127" t="s">
        <v>334</v>
      </c>
      <c r="B127" s="5" t="s">
        <v>335</v>
      </c>
      <c r="C127" t="s">
        <v>52</v>
      </c>
      <c r="D127" t="s">
        <v>53</v>
      </c>
      <c r="E127" t="s">
        <v>127</v>
      </c>
      <c r="F127" t="s">
        <v>137</v>
      </c>
      <c r="G127" t="s">
        <v>45</v>
      </c>
      <c r="H127" t="s">
        <v>56</v>
      </c>
      <c r="I127">
        <v>1</v>
      </c>
      <c r="J127">
        <v>34904</v>
      </c>
      <c r="K127">
        <v>0.08</v>
      </c>
      <c r="L127" s="9">
        <v>32111.68</v>
      </c>
      <c r="M127" s="9">
        <v>23047.32</v>
      </c>
      <c r="N127" s="9">
        <v>9064.36</v>
      </c>
      <c r="O127">
        <f>MONTH(TblSales[[#This Row],[Date]])</f>
        <v>1</v>
      </c>
      <c r="P127" t="str">
        <f>TEXT(TblSales[[#This Row],[Date]],"mmm")</f>
        <v>Jan</v>
      </c>
      <c r="Q127">
        <f>YEAR(TblSales[[#This Row],[Date]])</f>
        <v>2025</v>
      </c>
    </row>
    <row r="128" spans="1:17">
      <c r="A128" t="s">
        <v>336</v>
      </c>
      <c r="B128" s="5" t="s">
        <v>227</v>
      </c>
      <c r="C128" t="s">
        <v>113</v>
      </c>
      <c r="D128" t="s">
        <v>53</v>
      </c>
      <c r="E128" t="s">
        <v>140</v>
      </c>
      <c r="F128" t="s">
        <v>187</v>
      </c>
      <c r="G128" t="s">
        <v>67</v>
      </c>
      <c r="H128" t="s">
        <v>21</v>
      </c>
      <c r="I128">
        <v>1</v>
      </c>
      <c r="J128">
        <v>7259</v>
      </c>
      <c r="K128">
        <v>0.05</v>
      </c>
      <c r="L128" s="9">
        <v>6896.05</v>
      </c>
      <c r="M128" s="9">
        <v>5109.1000000000004</v>
      </c>
      <c r="N128" s="9">
        <v>1786.95</v>
      </c>
      <c r="O128">
        <f>MONTH(TblSales[[#This Row],[Date]])</f>
        <v>8</v>
      </c>
      <c r="P128" t="str">
        <f>TEXT(TblSales[[#This Row],[Date]],"mmm")</f>
        <v>Aug</v>
      </c>
      <c r="Q128">
        <f>YEAR(TblSales[[#This Row],[Date]])</f>
        <v>2025</v>
      </c>
    </row>
    <row r="129" spans="1:17">
      <c r="A129" t="s">
        <v>337</v>
      </c>
      <c r="B129" s="5" t="s">
        <v>338</v>
      </c>
      <c r="C129" t="s">
        <v>52</v>
      </c>
      <c r="D129" t="s">
        <v>25</v>
      </c>
      <c r="E129" t="s">
        <v>43</v>
      </c>
      <c r="F129" t="s">
        <v>44</v>
      </c>
      <c r="G129" t="s">
        <v>119</v>
      </c>
      <c r="H129" t="s">
        <v>21</v>
      </c>
      <c r="I129">
        <v>1</v>
      </c>
      <c r="J129">
        <v>28070</v>
      </c>
      <c r="K129">
        <v>0.09</v>
      </c>
      <c r="L129" s="9">
        <v>25543.7</v>
      </c>
      <c r="M129" s="9">
        <v>21556.61</v>
      </c>
      <c r="N129" s="9">
        <v>3987.09</v>
      </c>
      <c r="O129">
        <f>MONTH(TblSales[[#This Row],[Date]])</f>
        <v>10</v>
      </c>
      <c r="P129" t="str">
        <f>TEXT(TblSales[[#This Row],[Date]],"mmm")</f>
        <v>Oct</v>
      </c>
      <c r="Q129">
        <f>YEAR(TblSales[[#This Row],[Date]])</f>
        <v>2025</v>
      </c>
    </row>
    <row r="130" spans="1:17">
      <c r="A130" t="s">
        <v>339</v>
      </c>
      <c r="B130" s="5" t="s">
        <v>283</v>
      </c>
      <c r="C130" t="s">
        <v>16</v>
      </c>
      <c r="D130" t="s">
        <v>53</v>
      </c>
      <c r="E130" t="s">
        <v>127</v>
      </c>
      <c r="F130" t="s">
        <v>128</v>
      </c>
      <c r="G130" t="s">
        <v>33</v>
      </c>
      <c r="H130" t="s">
        <v>21</v>
      </c>
      <c r="I130">
        <v>4</v>
      </c>
      <c r="J130">
        <v>36517</v>
      </c>
      <c r="K130">
        <v>0.08</v>
      </c>
      <c r="L130" s="9">
        <v>134382.56</v>
      </c>
      <c r="M130" s="9">
        <v>117369.04</v>
      </c>
      <c r="N130" s="9">
        <v>17013.52</v>
      </c>
      <c r="O130">
        <f>MONTH(TblSales[[#This Row],[Date]])</f>
        <v>6</v>
      </c>
      <c r="P130" t="str">
        <f>TEXT(TblSales[[#This Row],[Date]],"mmm")</f>
        <v>Jun</v>
      </c>
      <c r="Q130">
        <f>YEAR(TblSales[[#This Row],[Date]])</f>
        <v>2025</v>
      </c>
    </row>
    <row r="131" spans="1:17">
      <c r="A131" t="s">
        <v>340</v>
      </c>
      <c r="B131" s="5" t="s">
        <v>341</v>
      </c>
      <c r="C131" t="s">
        <v>59</v>
      </c>
      <c r="D131" t="s">
        <v>60</v>
      </c>
      <c r="E131" t="s">
        <v>65</v>
      </c>
      <c r="F131" t="s">
        <v>134</v>
      </c>
      <c r="G131" t="s">
        <v>20</v>
      </c>
      <c r="H131" t="s">
        <v>56</v>
      </c>
      <c r="I131">
        <v>4</v>
      </c>
      <c r="J131">
        <v>21184</v>
      </c>
      <c r="K131">
        <v>0.12</v>
      </c>
      <c r="L131" s="9">
        <v>74567.679999999993</v>
      </c>
      <c r="M131" s="9">
        <v>61361.97</v>
      </c>
      <c r="N131" s="9">
        <v>13205.71</v>
      </c>
      <c r="O131">
        <f>MONTH(TblSales[[#This Row],[Date]])</f>
        <v>1</v>
      </c>
      <c r="P131" t="str">
        <f>TEXT(TblSales[[#This Row],[Date]],"mmm")</f>
        <v>Jan</v>
      </c>
      <c r="Q131">
        <f>YEAR(TblSales[[#This Row],[Date]])</f>
        <v>2025</v>
      </c>
    </row>
    <row r="132" spans="1:17">
      <c r="A132" t="s">
        <v>342</v>
      </c>
      <c r="B132" s="5" t="s">
        <v>343</v>
      </c>
      <c r="C132" t="s">
        <v>113</v>
      </c>
      <c r="D132" t="s">
        <v>53</v>
      </c>
      <c r="E132" t="s">
        <v>148</v>
      </c>
      <c r="F132" t="s">
        <v>149</v>
      </c>
      <c r="G132" t="s">
        <v>28</v>
      </c>
      <c r="H132" t="s">
        <v>56</v>
      </c>
      <c r="I132">
        <v>2</v>
      </c>
      <c r="J132">
        <v>37654</v>
      </c>
      <c r="K132">
        <v>0.13</v>
      </c>
      <c r="L132" s="9">
        <v>65517.96</v>
      </c>
      <c r="M132" s="9">
        <v>47364.08</v>
      </c>
      <c r="N132" s="9">
        <v>18153.88</v>
      </c>
      <c r="O132">
        <f>MONTH(TblSales[[#This Row],[Date]])</f>
        <v>4</v>
      </c>
      <c r="P132" t="str">
        <f>TEXT(TblSales[[#This Row],[Date]],"mmm")</f>
        <v>Apr</v>
      </c>
      <c r="Q132">
        <f>YEAR(TblSales[[#This Row],[Date]])</f>
        <v>2025</v>
      </c>
    </row>
    <row r="133" spans="1:17">
      <c r="A133" t="s">
        <v>344</v>
      </c>
      <c r="B133" s="5" t="s">
        <v>345</v>
      </c>
      <c r="C133" t="s">
        <v>85</v>
      </c>
      <c r="D133" t="s">
        <v>25</v>
      </c>
      <c r="E133" t="s">
        <v>70</v>
      </c>
      <c r="F133" t="s">
        <v>71</v>
      </c>
      <c r="G133" t="s">
        <v>28</v>
      </c>
      <c r="H133" t="s">
        <v>34</v>
      </c>
      <c r="I133">
        <v>5</v>
      </c>
      <c r="J133">
        <v>54673</v>
      </c>
      <c r="K133">
        <v>7.0000000000000007E-2</v>
      </c>
      <c r="L133" s="9">
        <v>254229.45</v>
      </c>
      <c r="M133" s="9">
        <v>185432.13</v>
      </c>
      <c r="N133" s="9">
        <v>68797.320000000007</v>
      </c>
      <c r="O133">
        <f>MONTH(TblSales[[#This Row],[Date]])</f>
        <v>9</v>
      </c>
      <c r="P133" t="str">
        <f>TEXT(TblSales[[#This Row],[Date]],"mmm")</f>
        <v>Sep</v>
      </c>
      <c r="Q133">
        <f>YEAR(TblSales[[#This Row],[Date]])</f>
        <v>2025</v>
      </c>
    </row>
    <row r="134" spans="1:17">
      <c r="A134" t="s">
        <v>346</v>
      </c>
      <c r="B134" s="5" t="s">
        <v>347</v>
      </c>
      <c r="C134" t="s">
        <v>52</v>
      </c>
      <c r="D134" t="s">
        <v>25</v>
      </c>
      <c r="E134" t="s">
        <v>81</v>
      </c>
      <c r="F134" t="s">
        <v>348</v>
      </c>
      <c r="G134" t="s">
        <v>108</v>
      </c>
      <c r="H134" t="s">
        <v>34</v>
      </c>
      <c r="I134">
        <v>5</v>
      </c>
      <c r="J134">
        <v>17642</v>
      </c>
      <c r="K134">
        <v>0.1</v>
      </c>
      <c r="L134" s="9">
        <v>79389</v>
      </c>
      <c r="M134" s="9">
        <v>56312.41</v>
      </c>
      <c r="N134" s="9">
        <v>23076.59</v>
      </c>
      <c r="O134">
        <f>MONTH(TblSales[[#This Row],[Date]])</f>
        <v>10</v>
      </c>
      <c r="P134" t="str">
        <f>TEXT(TblSales[[#This Row],[Date]],"mmm")</f>
        <v>Oct</v>
      </c>
      <c r="Q134">
        <f>YEAR(TblSales[[#This Row],[Date]])</f>
        <v>2025</v>
      </c>
    </row>
    <row r="135" spans="1:17">
      <c r="A135" t="s">
        <v>349</v>
      </c>
      <c r="B135" s="5" t="s">
        <v>350</v>
      </c>
      <c r="C135" t="s">
        <v>113</v>
      </c>
      <c r="D135" t="s">
        <v>60</v>
      </c>
      <c r="E135" t="s">
        <v>65</v>
      </c>
      <c r="F135" t="s">
        <v>237</v>
      </c>
      <c r="G135" t="s">
        <v>67</v>
      </c>
      <c r="H135" t="s">
        <v>34</v>
      </c>
      <c r="I135">
        <v>4</v>
      </c>
      <c r="J135">
        <v>17268</v>
      </c>
      <c r="K135">
        <v>0.06</v>
      </c>
      <c r="L135" s="9">
        <v>64927.68</v>
      </c>
      <c r="M135" s="9">
        <v>54635.1</v>
      </c>
      <c r="N135" s="9">
        <v>10292.58</v>
      </c>
      <c r="O135">
        <f>MONTH(TblSales[[#This Row],[Date]])</f>
        <v>9</v>
      </c>
      <c r="P135" t="str">
        <f>TEXT(TblSales[[#This Row],[Date]],"mmm")</f>
        <v>Sep</v>
      </c>
      <c r="Q135">
        <f>YEAR(TblSales[[#This Row],[Date]])</f>
        <v>2025</v>
      </c>
    </row>
    <row r="136" spans="1:17">
      <c r="A136" t="s">
        <v>351</v>
      </c>
      <c r="B136" s="5" t="s">
        <v>352</v>
      </c>
      <c r="C136" t="s">
        <v>98</v>
      </c>
      <c r="D136" t="s">
        <v>60</v>
      </c>
      <c r="E136" t="s">
        <v>61</v>
      </c>
      <c r="F136" t="s">
        <v>310</v>
      </c>
      <c r="G136" t="s">
        <v>67</v>
      </c>
      <c r="H136" t="s">
        <v>56</v>
      </c>
      <c r="I136">
        <v>2</v>
      </c>
      <c r="J136">
        <v>7186</v>
      </c>
      <c r="K136">
        <v>0.11</v>
      </c>
      <c r="L136" s="9">
        <v>12791.08</v>
      </c>
      <c r="M136" s="9">
        <v>9112.0400000000009</v>
      </c>
      <c r="N136" s="9">
        <v>3679.04</v>
      </c>
      <c r="O136">
        <f>MONTH(TblSales[[#This Row],[Date]])</f>
        <v>5</v>
      </c>
      <c r="P136" t="str">
        <f>TEXT(TblSales[[#This Row],[Date]],"mmm")</f>
        <v>May</v>
      </c>
      <c r="Q136">
        <f>YEAR(TblSales[[#This Row],[Date]])</f>
        <v>2025</v>
      </c>
    </row>
    <row r="137" spans="1:17">
      <c r="A137" t="s">
        <v>353</v>
      </c>
      <c r="B137" s="5" t="s">
        <v>354</v>
      </c>
      <c r="C137" t="s">
        <v>98</v>
      </c>
      <c r="D137" t="s">
        <v>17</v>
      </c>
      <c r="E137" t="s">
        <v>38</v>
      </c>
      <c r="F137" t="s">
        <v>114</v>
      </c>
      <c r="G137" t="s">
        <v>33</v>
      </c>
      <c r="H137" t="s">
        <v>56</v>
      </c>
      <c r="I137">
        <v>1</v>
      </c>
      <c r="J137">
        <v>47648</v>
      </c>
      <c r="K137">
        <v>0.09</v>
      </c>
      <c r="L137" s="9">
        <v>43359.68</v>
      </c>
      <c r="M137" s="9">
        <v>35298.58</v>
      </c>
      <c r="N137" s="9">
        <v>8061.1</v>
      </c>
      <c r="O137">
        <f>MONTH(TblSales[[#This Row],[Date]])</f>
        <v>4</v>
      </c>
      <c r="P137" t="str">
        <f>TEXT(TblSales[[#This Row],[Date]],"mmm")</f>
        <v>Apr</v>
      </c>
      <c r="Q137">
        <f>YEAR(TblSales[[#This Row],[Date]])</f>
        <v>2025</v>
      </c>
    </row>
    <row r="138" spans="1:17">
      <c r="A138" t="s">
        <v>355</v>
      </c>
      <c r="B138" s="5" t="s">
        <v>356</v>
      </c>
      <c r="C138" t="s">
        <v>113</v>
      </c>
      <c r="D138" t="s">
        <v>53</v>
      </c>
      <c r="E138" t="s">
        <v>148</v>
      </c>
      <c r="F138" t="s">
        <v>149</v>
      </c>
      <c r="G138" t="s">
        <v>28</v>
      </c>
      <c r="H138" t="s">
        <v>56</v>
      </c>
      <c r="I138">
        <v>2</v>
      </c>
      <c r="J138">
        <v>24644</v>
      </c>
      <c r="K138">
        <v>0.14000000000000001</v>
      </c>
      <c r="L138" s="9">
        <v>42387.68</v>
      </c>
      <c r="M138" s="9">
        <v>30138.14</v>
      </c>
      <c r="N138" s="9">
        <v>12249.54</v>
      </c>
      <c r="O138">
        <f>MONTH(TblSales[[#This Row],[Date]])</f>
        <v>5</v>
      </c>
      <c r="P138" t="str">
        <f>TEXT(TblSales[[#This Row],[Date]],"mmm")</f>
        <v>May</v>
      </c>
      <c r="Q138">
        <f>YEAR(TblSales[[#This Row],[Date]])</f>
        <v>2025</v>
      </c>
    </row>
    <row r="139" spans="1:17">
      <c r="A139" t="s">
        <v>357</v>
      </c>
      <c r="B139" s="5" t="s">
        <v>358</v>
      </c>
      <c r="C139" t="s">
        <v>113</v>
      </c>
      <c r="D139" t="s">
        <v>60</v>
      </c>
      <c r="E139" t="s">
        <v>106</v>
      </c>
      <c r="F139" t="s">
        <v>174</v>
      </c>
      <c r="G139" t="s">
        <v>40</v>
      </c>
      <c r="H139" t="s">
        <v>56</v>
      </c>
      <c r="I139">
        <v>3</v>
      </c>
      <c r="J139">
        <v>58061</v>
      </c>
      <c r="K139">
        <v>0.11</v>
      </c>
      <c r="L139" s="9">
        <v>155022.87</v>
      </c>
      <c r="M139" s="9">
        <v>135895.59</v>
      </c>
      <c r="N139" s="9">
        <v>19127.28</v>
      </c>
      <c r="O139">
        <f>MONTH(TblSales[[#This Row],[Date]])</f>
        <v>9</v>
      </c>
      <c r="P139" t="str">
        <f>TEXT(TblSales[[#This Row],[Date]],"mmm")</f>
        <v>Sep</v>
      </c>
      <c r="Q139">
        <f>YEAR(TblSales[[#This Row],[Date]])</f>
        <v>2025</v>
      </c>
    </row>
    <row r="140" spans="1:17">
      <c r="A140" t="s">
        <v>359</v>
      </c>
      <c r="B140" s="5" t="s">
        <v>246</v>
      </c>
      <c r="C140" t="s">
        <v>59</v>
      </c>
      <c r="D140" t="s">
        <v>60</v>
      </c>
      <c r="E140" t="s">
        <v>61</v>
      </c>
      <c r="F140" t="s">
        <v>310</v>
      </c>
      <c r="G140" t="s">
        <v>108</v>
      </c>
      <c r="H140" t="s">
        <v>21</v>
      </c>
      <c r="I140">
        <v>4</v>
      </c>
      <c r="J140">
        <v>34638</v>
      </c>
      <c r="K140">
        <v>7.0000000000000007E-2</v>
      </c>
      <c r="L140" s="9">
        <v>128853.36</v>
      </c>
      <c r="M140" s="9">
        <v>103836.05</v>
      </c>
      <c r="N140" s="9">
        <v>25017.31</v>
      </c>
      <c r="O140">
        <f>MONTH(TblSales[[#This Row],[Date]])</f>
        <v>10</v>
      </c>
      <c r="P140" t="str">
        <f>TEXT(TblSales[[#This Row],[Date]],"mmm")</f>
        <v>Oct</v>
      </c>
      <c r="Q140">
        <f>YEAR(TblSales[[#This Row],[Date]])</f>
        <v>2025</v>
      </c>
    </row>
    <row r="141" spans="1:17">
      <c r="A141" t="s">
        <v>360</v>
      </c>
      <c r="B141" s="5" t="s">
        <v>254</v>
      </c>
      <c r="C141" t="s">
        <v>98</v>
      </c>
      <c r="D141" t="s">
        <v>17</v>
      </c>
      <c r="E141" t="s">
        <v>38</v>
      </c>
      <c r="F141" t="s">
        <v>39</v>
      </c>
      <c r="G141" t="s">
        <v>45</v>
      </c>
      <c r="H141" t="s">
        <v>29</v>
      </c>
      <c r="I141">
        <v>2</v>
      </c>
      <c r="J141">
        <v>32551</v>
      </c>
      <c r="K141">
        <v>0.09</v>
      </c>
      <c r="L141" s="9">
        <v>59242.82</v>
      </c>
      <c r="M141" s="9">
        <v>44190.97</v>
      </c>
      <c r="N141" s="9">
        <v>15051.85</v>
      </c>
      <c r="O141">
        <f>MONTH(TblSales[[#This Row],[Date]])</f>
        <v>7</v>
      </c>
      <c r="P141" t="str">
        <f>TEXT(TblSales[[#This Row],[Date]],"mmm")</f>
        <v>Jul</v>
      </c>
      <c r="Q141">
        <f>YEAR(TblSales[[#This Row],[Date]])</f>
        <v>2025</v>
      </c>
    </row>
    <row r="142" spans="1:17">
      <c r="A142" t="s">
        <v>361</v>
      </c>
      <c r="B142" s="5" t="s">
        <v>362</v>
      </c>
      <c r="C142" t="s">
        <v>98</v>
      </c>
      <c r="D142" t="s">
        <v>17</v>
      </c>
      <c r="E142" t="s">
        <v>18</v>
      </c>
      <c r="F142" t="s">
        <v>298</v>
      </c>
      <c r="G142" t="s">
        <v>119</v>
      </c>
      <c r="H142" t="s">
        <v>56</v>
      </c>
      <c r="I142">
        <v>4</v>
      </c>
      <c r="J142">
        <v>15570</v>
      </c>
      <c r="K142">
        <v>0.12</v>
      </c>
      <c r="L142" s="9">
        <v>54806.400000000001</v>
      </c>
      <c r="M142" s="9">
        <v>44836.67</v>
      </c>
      <c r="N142" s="9">
        <v>9969.73</v>
      </c>
      <c r="O142">
        <f>MONTH(TblSales[[#This Row],[Date]])</f>
        <v>6</v>
      </c>
      <c r="P142" t="str">
        <f>TEXT(TblSales[[#This Row],[Date]],"mmm")</f>
        <v>Jun</v>
      </c>
      <c r="Q142">
        <f>YEAR(TblSales[[#This Row],[Date]])</f>
        <v>2025</v>
      </c>
    </row>
    <row r="143" spans="1:17">
      <c r="A143" t="s">
        <v>363</v>
      </c>
      <c r="B143" s="5" t="s">
        <v>364</v>
      </c>
      <c r="C143" t="s">
        <v>89</v>
      </c>
      <c r="D143" t="s">
        <v>53</v>
      </c>
      <c r="E143" t="s">
        <v>54</v>
      </c>
      <c r="F143" t="s">
        <v>225</v>
      </c>
      <c r="G143" t="s">
        <v>67</v>
      </c>
      <c r="H143" t="s">
        <v>56</v>
      </c>
      <c r="I143">
        <v>5</v>
      </c>
      <c r="J143">
        <v>18106</v>
      </c>
      <c r="K143">
        <v>0.13</v>
      </c>
      <c r="L143" s="9">
        <v>78761.100000000006</v>
      </c>
      <c r="M143" s="9">
        <v>67750.75</v>
      </c>
      <c r="N143" s="9">
        <v>11010.35</v>
      </c>
      <c r="O143">
        <f>MONTH(TblSales[[#This Row],[Date]])</f>
        <v>9</v>
      </c>
      <c r="P143" t="str">
        <f>TEXT(TblSales[[#This Row],[Date]],"mmm")</f>
        <v>Sep</v>
      </c>
      <c r="Q143">
        <f>YEAR(TblSales[[#This Row],[Date]])</f>
        <v>2025</v>
      </c>
    </row>
    <row r="144" spans="1:17">
      <c r="A144" t="s">
        <v>365</v>
      </c>
      <c r="B144" s="5" t="s">
        <v>189</v>
      </c>
      <c r="C144" t="s">
        <v>89</v>
      </c>
      <c r="D144" t="s">
        <v>25</v>
      </c>
      <c r="E144" t="s">
        <v>26</v>
      </c>
      <c r="F144" t="s">
        <v>99</v>
      </c>
      <c r="G144" t="s">
        <v>108</v>
      </c>
      <c r="H144" t="s">
        <v>21</v>
      </c>
      <c r="I144">
        <v>3</v>
      </c>
      <c r="J144">
        <v>46113</v>
      </c>
      <c r="K144">
        <v>0.03</v>
      </c>
      <c r="L144" s="9">
        <v>134188.82999999999</v>
      </c>
      <c r="M144" s="9">
        <v>103706.47</v>
      </c>
      <c r="N144" s="9">
        <v>30482.36</v>
      </c>
      <c r="O144">
        <f>MONTH(TblSales[[#This Row],[Date]])</f>
        <v>2</v>
      </c>
      <c r="P144" t="str">
        <f>TEXT(TblSales[[#This Row],[Date]],"mmm")</f>
        <v>Feb</v>
      </c>
      <c r="Q144">
        <f>YEAR(TblSales[[#This Row],[Date]])</f>
        <v>2025</v>
      </c>
    </row>
    <row r="145" spans="1:17">
      <c r="A145" t="s">
        <v>366</v>
      </c>
      <c r="B145" s="5" t="s">
        <v>367</v>
      </c>
      <c r="C145" t="s">
        <v>24</v>
      </c>
      <c r="D145" t="s">
        <v>17</v>
      </c>
      <c r="E145" t="s">
        <v>74</v>
      </c>
      <c r="F145" t="s">
        <v>368</v>
      </c>
      <c r="G145" t="s">
        <v>45</v>
      </c>
      <c r="H145" t="s">
        <v>29</v>
      </c>
      <c r="I145">
        <v>3</v>
      </c>
      <c r="J145">
        <v>17162</v>
      </c>
      <c r="K145">
        <v>0.08</v>
      </c>
      <c r="L145" s="9">
        <v>47367.12</v>
      </c>
      <c r="M145" s="9">
        <v>38406.85</v>
      </c>
      <c r="N145" s="9">
        <v>8960.27</v>
      </c>
      <c r="O145">
        <f>MONTH(TblSales[[#This Row],[Date]])</f>
        <v>2</v>
      </c>
      <c r="P145" t="str">
        <f>TEXT(TblSales[[#This Row],[Date]],"mmm")</f>
        <v>Feb</v>
      </c>
      <c r="Q145">
        <f>YEAR(TblSales[[#This Row],[Date]])</f>
        <v>2025</v>
      </c>
    </row>
    <row r="146" spans="1:17">
      <c r="A146" t="s">
        <v>369</v>
      </c>
      <c r="B146" s="5" t="s">
        <v>370</v>
      </c>
      <c r="C146" t="s">
        <v>113</v>
      </c>
      <c r="D146" t="s">
        <v>17</v>
      </c>
      <c r="E146" t="s">
        <v>38</v>
      </c>
      <c r="F146" t="s">
        <v>114</v>
      </c>
      <c r="G146" t="s">
        <v>67</v>
      </c>
      <c r="H146" t="s">
        <v>29</v>
      </c>
      <c r="I146">
        <v>2</v>
      </c>
      <c r="J146">
        <v>23569</v>
      </c>
      <c r="K146">
        <v>0.09</v>
      </c>
      <c r="L146" s="9">
        <v>42895.58</v>
      </c>
      <c r="M146" s="9">
        <v>36081.64</v>
      </c>
      <c r="N146" s="9">
        <v>6813.94</v>
      </c>
      <c r="O146">
        <f>MONTH(TblSales[[#This Row],[Date]])</f>
        <v>4</v>
      </c>
      <c r="P146" t="str">
        <f>TEXT(TblSales[[#This Row],[Date]],"mmm")</f>
        <v>Apr</v>
      </c>
      <c r="Q146">
        <f>YEAR(TblSales[[#This Row],[Date]])</f>
        <v>2025</v>
      </c>
    </row>
    <row r="147" spans="1:17">
      <c r="A147" t="s">
        <v>371</v>
      </c>
      <c r="B147" s="5" t="s">
        <v>372</v>
      </c>
      <c r="C147" t="s">
        <v>89</v>
      </c>
      <c r="D147" t="s">
        <v>17</v>
      </c>
      <c r="E147" t="s">
        <v>48</v>
      </c>
      <c r="F147" t="s">
        <v>162</v>
      </c>
      <c r="G147" t="s">
        <v>28</v>
      </c>
      <c r="H147" t="s">
        <v>56</v>
      </c>
      <c r="I147">
        <v>3</v>
      </c>
      <c r="J147">
        <v>45064</v>
      </c>
      <c r="K147">
        <v>7.0000000000000007E-2</v>
      </c>
      <c r="L147" s="9">
        <v>125728.56</v>
      </c>
      <c r="M147" s="9">
        <v>89354.89</v>
      </c>
      <c r="N147" s="9">
        <v>36373.67</v>
      </c>
      <c r="O147">
        <f>MONTH(TblSales[[#This Row],[Date]])</f>
        <v>4</v>
      </c>
      <c r="P147" t="str">
        <f>TEXT(TblSales[[#This Row],[Date]],"mmm")</f>
        <v>Apr</v>
      </c>
      <c r="Q147">
        <f>YEAR(TblSales[[#This Row],[Date]])</f>
        <v>2025</v>
      </c>
    </row>
    <row r="148" spans="1:17">
      <c r="A148" t="s">
        <v>373</v>
      </c>
      <c r="B148" s="5" t="s">
        <v>374</v>
      </c>
      <c r="C148" t="s">
        <v>24</v>
      </c>
      <c r="D148" t="s">
        <v>53</v>
      </c>
      <c r="E148" t="s">
        <v>148</v>
      </c>
      <c r="F148" t="s">
        <v>149</v>
      </c>
      <c r="G148" t="s">
        <v>33</v>
      </c>
      <c r="H148" t="s">
        <v>34</v>
      </c>
      <c r="I148">
        <v>3</v>
      </c>
      <c r="J148">
        <v>22496</v>
      </c>
      <c r="K148">
        <v>0.15</v>
      </c>
      <c r="L148" s="9">
        <v>57364.800000000003</v>
      </c>
      <c r="M148" s="9">
        <v>42979.53</v>
      </c>
      <c r="N148" s="9">
        <v>14385.27</v>
      </c>
      <c r="O148">
        <f>MONTH(TblSales[[#This Row],[Date]])</f>
        <v>8</v>
      </c>
      <c r="P148" t="str">
        <f>TEXT(TblSales[[#This Row],[Date]],"mmm")</f>
        <v>Aug</v>
      </c>
      <c r="Q148">
        <f>YEAR(TblSales[[#This Row],[Date]])</f>
        <v>2025</v>
      </c>
    </row>
    <row r="149" spans="1:17">
      <c r="A149" t="s">
        <v>375</v>
      </c>
      <c r="B149" s="5" t="s">
        <v>309</v>
      </c>
      <c r="C149" t="s">
        <v>89</v>
      </c>
      <c r="D149" t="s">
        <v>25</v>
      </c>
      <c r="E149" t="s">
        <v>81</v>
      </c>
      <c r="F149" t="s">
        <v>82</v>
      </c>
      <c r="G149" t="s">
        <v>67</v>
      </c>
      <c r="H149" t="s">
        <v>56</v>
      </c>
      <c r="I149">
        <v>1</v>
      </c>
      <c r="J149">
        <v>54613</v>
      </c>
      <c r="K149">
        <v>0.15</v>
      </c>
      <c r="L149" s="9">
        <v>46421.05</v>
      </c>
      <c r="M149" s="9">
        <v>36902.22</v>
      </c>
      <c r="N149" s="9">
        <v>9518.83</v>
      </c>
      <c r="O149">
        <f>MONTH(TblSales[[#This Row],[Date]])</f>
        <v>2</v>
      </c>
      <c r="P149" t="str">
        <f>TEXT(TblSales[[#This Row],[Date]],"mmm")</f>
        <v>Feb</v>
      </c>
      <c r="Q149">
        <f>YEAR(TblSales[[#This Row],[Date]])</f>
        <v>2025</v>
      </c>
    </row>
    <row r="150" spans="1:17">
      <c r="A150" t="s">
        <v>376</v>
      </c>
      <c r="B150" s="5" t="s">
        <v>171</v>
      </c>
      <c r="C150" t="s">
        <v>89</v>
      </c>
      <c r="D150" t="s">
        <v>25</v>
      </c>
      <c r="E150" t="s">
        <v>81</v>
      </c>
      <c r="F150" t="s">
        <v>377</v>
      </c>
      <c r="G150" t="s">
        <v>67</v>
      </c>
      <c r="H150" t="s">
        <v>29</v>
      </c>
      <c r="I150">
        <v>1</v>
      </c>
      <c r="J150">
        <v>18938</v>
      </c>
      <c r="K150">
        <v>0.03</v>
      </c>
      <c r="L150" s="9">
        <v>18369.86</v>
      </c>
      <c r="M150" s="9">
        <v>13390.31</v>
      </c>
      <c r="N150" s="9">
        <v>4979.55</v>
      </c>
      <c r="O150">
        <f>MONTH(TblSales[[#This Row],[Date]])</f>
        <v>4</v>
      </c>
      <c r="P150" t="str">
        <f>TEXT(TblSales[[#This Row],[Date]],"mmm")</f>
        <v>Apr</v>
      </c>
      <c r="Q150">
        <f>YEAR(TblSales[[#This Row],[Date]])</f>
        <v>2025</v>
      </c>
    </row>
    <row r="151" spans="1:17">
      <c r="A151" t="s">
        <v>378</v>
      </c>
      <c r="B151" s="5" t="s">
        <v>379</v>
      </c>
      <c r="C151" t="s">
        <v>52</v>
      </c>
      <c r="D151" t="s">
        <v>60</v>
      </c>
      <c r="E151" t="s">
        <v>65</v>
      </c>
      <c r="F151" t="s">
        <v>134</v>
      </c>
      <c r="G151" t="s">
        <v>33</v>
      </c>
      <c r="H151" t="s">
        <v>29</v>
      </c>
      <c r="I151">
        <v>4</v>
      </c>
      <c r="J151">
        <v>9536</v>
      </c>
      <c r="K151">
        <v>0.13</v>
      </c>
      <c r="L151" s="9">
        <v>33185.279999999999</v>
      </c>
      <c r="M151" s="9">
        <v>28577.040000000001</v>
      </c>
      <c r="N151" s="9">
        <v>4608.24</v>
      </c>
      <c r="O151">
        <f>MONTH(TblSales[[#This Row],[Date]])</f>
        <v>2</v>
      </c>
      <c r="P151" t="str">
        <f>TEXT(TblSales[[#This Row],[Date]],"mmm")</f>
        <v>Feb</v>
      </c>
      <c r="Q151">
        <f>YEAR(TblSales[[#This Row],[Date]])</f>
        <v>2025</v>
      </c>
    </row>
    <row r="152" spans="1:17">
      <c r="A152" t="s">
        <v>380</v>
      </c>
      <c r="B152" s="5" t="s">
        <v>123</v>
      </c>
      <c r="C152" t="s">
        <v>98</v>
      </c>
      <c r="D152" t="s">
        <v>60</v>
      </c>
      <c r="E152" t="s">
        <v>65</v>
      </c>
      <c r="F152" t="s">
        <v>237</v>
      </c>
      <c r="G152" t="s">
        <v>40</v>
      </c>
      <c r="H152" t="s">
        <v>21</v>
      </c>
      <c r="I152">
        <v>2</v>
      </c>
      <c r="J152">
        <v>19850</v>
      </c>
      <c r="K152">
        <v>0.08</v>
      </c>
      <c r="L152" s="9">
        <v>36524</v>
      </c>
      <c r="M152" s="9">
        <v>31897.24</v>
      </c>
      <c r="N152" s="9">
        <v>4626.76</v>
      </c>
      <c r="O152">
        <f>MONTH(TblSales[[#This Row],[Date]])</f>
        <v>7</v>
      </c>
      <c r="P152" t="str">
        <f>TEXT(TblSales[[#This Row],[Date]],"mmm")</f>
        <v>Jul</v>
      </c>
      <c r="Q152">
        <f>YEAR(TblSales[[#This Row],[Date]])</f>
        <v>2025</v>
      </c>
    </row>
    <row r="153" spans="1:17">
      <c r="A153" t="s">
        <v>381</v>
      </c>
      <c r="B153" s="5" t="s">
        <v>382</v>
      </c>
      <c r="C153" t="s">
        <v>24</v>
      </c>
      <c r="D153" t="s">
        <v>53</v>
      </c>
      <c r="E153" t="s">
        <v>127</v>
      </c>
      <c r="F153" t="s">
        <v>137</v>
      </c>
      <c r="G153" t="s">
        <v>67</v>
      </c>
      <c r="H153" t="s">
        <v>21</v>
      </c>
      <c r="I153">
        <v>4</v>
      </c>
      <c r="J153">
        <v>2825</v>
      </c>
      <c r="K153">
        <v>0.12</v>
      </c>
      <c r="L153" s="9">
        <v>9944</v>
      </c>
      <c r="M153" s="9">
        <v>8712.36</v>
      </c>
      <c r="N153" s="9">
        <v>1231.6400000000001</v>
      </c>
      <c r="O153">
        <f>MONTH(TblSales[[#This Row],[Date]])</f>
        <v>1</v>
      </c>
      <c r="P153" t="str">
        <f>TEXT(TblSales[[#This Row],[Date]],"mmm")</f>
        <v>Jan</v>
      </c>
      <c r="Q153">
        <f>YEAR(TblSales[[#This Row],[Date]])</f>
        <v>2025</v>
      </c>
    </row>
    <row r="154" spans="1:17">
      <c r="A154" t="s">
        <v>383</v>
      </c>
      <c r="B154" s="5" t="s">
        <v>384</v>
      </c>
      <c r="C154" t="s">
        <v>85</v>
      </c>
      <c r="D154" t="s">
        <v>53</v>
      </c>
      <c r="E154" t="s">
        <v>140</v>
      </c>
      <c r="F154" t="s">
        <v>141</v>
      </c>
      <c r="G154" t="s">
        <v>119</v>
      </c>
      <c r="H154" t="s">
        <v>29</v>
      </c>
      <c r="I154">
        <v>3</v>
      </c>
      <c r="J154">
        <v>20602</v>
      </c>
      <c r="K154">
        <v>0.09</v>
      </c>
      <c r="L154" s="9">
        <v>56243.46</v>
      </c>
      <c r="M154" s="9">
        <v>40496.07</v>
      </c>
      <c r="N154" s="9">
        <v>15747.39</v>
      </c>
      <c r="O154">
        <f>MONTH(TblSales[[#This Row],[Date]])</f>
        <v>3</v>
      </c>
      <c r="P154" t="str">
        <f>TEXT(TblSales[[#This Row],[Date]],"mmm")</f>
        <v>Mar</v>
      </c>
      <c r="Q154">
        <f>YEAR(TblSales[[#This Row],[Date]])</f>
        <v>2025</v>
      </c>
    </row>
    <row r="155" spans="1:17">
      <c r="A155" t="s">
        <v>385</v>
      </c>
      <c r="B155" s="5" t="s">
        <v>323</v>
      </c>
      <c r="C155" t="s">
        <v>89</v>
      </c>
      <c r="D155" t="s">
        <v>53</v>
      </c>
      <c r="E155" t="s">
        <v>54</v>
      </c>
      <c r="F155" t="s">
        <v>116</v>
      </c>
      <c r="G155" t="s">
        <v>67</v>
      </c>
      <c r="H155" t="s">
        <v>34</v>
      </c>
      <c r="I155">
        <v>4</v>
      </c>
      <c r="J155">
        <v>25576</v>
      </c>
      <c r="K155">
        <v>7.0000000000000007E-2</v>
      </c>
      <c r="L155" s="9">
        <v>95142.720000000001</v>
      </c>
      <c r="M155" s="9">
        <v>69664.320000000007</v>
      </c>
      <c r="N155" s="9">
        <v>25478.400000000001</v>
      </c>
      <c r="O155">
        <f>MONTH(TblSales[[#This Row],[Date]])</f>
        <v>1</v>
      </c>
      <c r="P155" t="str">
        <f>TEXT(TblSales[[#This Row],[Date]],"mmm")</f>
        <v>Jan</v>
      </c>
      <c r="Q155">
        <f>YEAR(TblSales[[#This Row],[Date]])</f>
        <v>2025</v>
      </c>
    </row>
    <row r="156" spans="1:17">
      <c r="A156" t="s">
        <v>386</v>
      </c>
      <c r="B156" s="5" t="s">
        <v>387</v>
      </c>
      <c r="C156" t="s">
        <v>59</v>
      </c>
      <c r="D156" t="s">
        <v>60</v>
      </c>
      <c r="E156" t="s">
        <v>65</v>
      </c>
      <c r="F156" t="s">
        <v>134</v>
      </c>
      <c r="G156" t="s">
        <v>20</v>
      </c>
      <c r="H156" t="s">
        <v>21</v>
      </c>
      <c r="I156">
        <v>4</v>
      </c>
      <c r="J156">
        <v>57703</v>
      </c>
      <c r="K156">
        <v>0.11</v>
      </c>
      <c r="L156" s="9">
        <v>205422.68</v>
      </c>
      <c r="M156" s="9">
        <v>180156.19</v>
      </c>
      <c r="N156" s="9">
        <v>25266.49</v>
      </c>
      <c r="O156">
        <f>MONTH(TblSales[[#This Row],[Date]])</f>
        <v>6</v>
      </c>
      <c r="P156" t="str">
        <f>TEXT(TblSales[[#This Row],[Date]],"mmm")</f>
        <v>Jun</v>
      </c>
      <c r="Q156">
        <f>YEAR(TblSales[[#This Row],[Date]])</f>
        <v>2025</v>
      </c>
    </row>
    <row r="157" spans="1:17">
      <c r="A157" t="s">
        <v>388</v>
      </c>
      <c r="B157" s="5" t="s">
        <v>222</v>
      </c>
      <c r="C157" t="s">
        <v>85</v>
      </c>
      <c r="D157" t="s">
        <v>60</v>
      </c>
      <c r="E157" t="s">
        <v>102</v>
      </c>
      <c r="F157" t="s">
        <v>389</v>
      </c>
      <c r="G157" t="s">
        <v>40</v>
      </c>
      <c r="H157" t="s">
        <v>21</v>
      </c>
      <c r="I157">
        <v>5</v>
      </c>
      <c r="J157">
        <v>48944</v>
      </c>
      <c r="K157">
        <v>0.06</v>
      </c>
      <c r="L157" s="9">
        <v>230036.8</v>
      </c>
      <c r="M157" s="9">
        <v>187817.8</v>
      </c>
      <c r="N157" s="9">
        <v>42219</v>
      </c>
      <c r="O157">
        <f>MONTH(TblSales[[#This Row],[Date]])</f>
        <v>5</v>
      </c>
      <c r="P157" t="str">
        <f>TEXT(TblSales[[#This Row],[Date]],"mmm")</f>
        <v>May</v>
      </c>
      <c r="Q157">
        <f>YEAR(TblSales[[#This Row],[Date]])</f>
        <v>2025</v>
      </c>
    </row>
    <row r="158" spans="1:17">
      <c r="A158" t="s">
        <v>390</v>
      </c>
      <c r="B158" s="5" t="s">
        <v>391</v>
      </c>
      <c r="C158" t="s">
        <v>113</v>
      </c>
      <c r="D158" t="s">
        <v>25</v>
      </c>
      <c r="E158" t="s">
        <v>70</v>
      </c>
      <c r="F158" t="s">
        <v>71</v>
      </c>
      <c r="G158" t="s">
        <v>33</v>
      </c>
      <c r="H158" t="s">
        <v>34</v>
      </c>
      <c r="I158">
        <v>4</v>
      </c>
      <c r="J158">
        <v>22075</v>
      </c>
      <c r="K158">
        <v>0.15</v>
      </c>
      <c r="L158" s="9">
        <v>75055</v>
      </c>
      <c r="M158" s="9">
        <v>54110.720000000001</v>
      </c>
      <c r="N158" s="9">
        <v>20944.28</v>
      </c>
      <c r="O158">
        <f>MONTH(TblSales[[#This Row],[Date]])</f>
        <v>10</v>
      </c>
      <c r="P158" t="str">
        <f>TEXT(TblSales[[#This Row],[Date]],"mmm")</f>
        <v>Oct</v>
      </c>
      <c r="Q158">
        <f>YEAR(TblSales[[#This Row],[Date]])</f>
        <v>2025</v>
      </c>
    </row>
    <row r="159" spans="1:17">
      <c r="A159" t="s">
        <v>392</v>
      </c>
      <c r="B159" s="5" t="s">
        <v>387</v>
      </c>
      <c r="C159" t="s">
        <v>85</v>
      </c>
      <c r="D159" t="s">
        <v>17</v>
      </c>
      <c r="E159" t="s">
        <v>18</v>
      </c>
      <c r="F159" t="s">
        <v>298</v>
      </c>
      <c r="G159" t="s">
        <v>45</v>
      </c>
      <c r="H159" t="s">
        <v>29</v>
      </c>
      <c r="I159">
        <v>2</v>
      </c>
      <c r="J159">
        <v>32804</v>
      </c>
      <c r="K159">
        <v>0.13</v>
      </c>
      <c r="L159" s="9">
        <v>57078.96</v>
      </c>
      <c r="M159" s="9">
        <v>47025.02</v>
      </c>
      <c r="N159" s="9">
        <v>10053.94</v>
      </c>
      <c r="O159">
        <f>MONTH(TblSales[[#This Row],[Date]])</f>
        <v>6</v>
      </c>
      <c r="P159" t="str">
        <f>TEXT(TblSales[[#This Row],[Date]],"mmm")</f>
        <v>Jun</v>
      </c>
      <c r="Q159">
        <f>YEAR(TblSales[[#This Row],[Date]])</f>
        <v>2025</v>
      </c>
    </row>
    <row r="160" spans="1:17">
      <c r="A160" t="s">
        <v>393</v>
      </c>
      <c r="B160" s="5" t="s">
        <v>394</v>
      </c>
      <c r="C160" t="s">
        <v>85</v>
      </c>
      <c r="D160" t="s">
        <v>60</v>
      </c>
      <c r="E160" t="s">
        <v>61</v>
      </c>
      <c r="F160" t="s">
        <v>395</v>
      </c>
      <c r="G160" t="s">
        <v>67</v>
      </c>
      <c r="H160" t="s">
        <v>56</v>
      </c>
      <c r="I160">
        <v>2</v>
      </c>
      <c r="J160">
        <v>41569</v>
      </c>
      <c r="K160">
        <v>0.12</v>
      </c>
      <c r="L160" s="9">
        <v>73161.440000000002</v>
      </c>
      <c r="M160" s="9">
        <v>57455.81</v>
      </c>
      <c r="N160" s="9">
        <v>15705.63</v>
      </c>
      <c r="O160">
        <f>MONTH(TblSales[[#This Row],[Date]])</f>
        <v>10</v>
      </c>
      <c r="P160" t="str">
        <f>TEXT(TblSales[[#This Row],[Date]],"mmm")</f>
        <v>Oct</v>
      </c>
      <c r="Q160">
        <f>YEAR(TblSales[[#This Row],[Date]])</f>
        <v>2025</v>
      </c>
    </row>
    <row r="161" spans="1:17">
      <c r="A161" t="s">
        <v>396</v>
      </c>
      <c r="B161" s="5" t="s">
        <v>397</v>
      </c>
      <c r="C161" t="s">
        <v>32</v>
      </c>
      <c r="D161" t="s">
        <v>25</v>
      </c>
      <c r="E161" t="s">
        <v>26</v>
      </c>
      <c r="F161" t="s">
        <v>179</v>
      </c>
      <c r="G161" t="s">
        <v>28</v>
      </c>
      <c r="H161" t="s">
        <v>21</v>
      </c>
      <c r="I161">
        <v>5</v>
      </c>
      <c r="J161">
        <v>8982</v>
      </c>
      <c r="K161">
        <v>0.09</v>
      </c>
      <c r="L161" s="9">
        <v>40868.1</v>
      </c>
      <c r="M161" s="9">
        <v>32408.78</v>
      </c>
      <c r="N161" s="9">
        <v>8459.32</v>
      </c>
      <c r="O161">
        <f>MONTH(TblSales[[#This Row],[Date]])</f>
        <v>6</v>
      </c>
      <c r="P161" t="str">
        <f>TEXT(TblSales[[#This Row],[Date]],"mmm")</f>
        <v>Jun</v>
      </c>
      <c r="Q161">
        <f>YEAR(TblSales[[#This Row],[Date]])</f>
        <v>2025</v>
      </c>
    </row>
    <row r="162" spans="1:17">
      <c r="A162" t="s">
        <v>398</v>
      </c>
      <c r="B162" s="5" t="s">
        <v>399</v>
      </c>
      <c r="C162" t="s">
        <v>37</v>
      </c>
      <c r="D162" t="s">
        <v>60</v>
      </c>
      <c r="E162" t="s">
        <v>106</v>
      </c>
      <c r="F162" t="s">
        <v>209</v>
      </c>
      <c r="G162" t="s">
        <v>67</v>
      </c>
      <c r="H162" t="s">
        <v>29</v>
      </c>
      <c r="I162">
        <v>1</v>
      </c>
      <c r="J162">
        <v>24206</v>
      </c>
      <c r="K162">
        <v>0.06</v>
      </c>
      <c r="L162" s="9">
        <v>22753.64</v>
      </c>
      <c r="M162" s="9">
        <v>16760.669999999998</v>
      </c>
      <c r="N162" s="9">
        <v>5992.97</v>
      </c>
      <c r="O162">
        <f>MONTH(TblSales[[#This Row],[Date]])</f>
        <v>7</v>
      </c>
      <c r="P162" t="str">
        <f>TEXT(TblSales[[#This Row],[Date]],"mmm")</f>
        <v>Jul</v>
      </c>
      <c r="Q162">
        <f>YEAR(TblSales[[#This Row],[Date]])</f>
        <v>2025</v>
      </c>
    </row>
    <row r="163" spans="1:17">
      <c r="A163" t="s">
        <v>400</v>
      </c>
      <c r="B163" s="5" t="s">
        <v>153</v>
      </c>
      <c r="C163" t="s">
        <v>37</v>
      </c>
      <c r="D163" t="s">
        <v>25</v>
      </c>
      <c r="E163" t="s">
        <v>26</v>
      </c>
      <c r="F163" t="s">
        <v>99</v>
      </c>
      <c r="G163" t="s">
        <v>45</v>
      </c>
      <c r="H163" t="s">
        <v>29</v>
      </c>
      <c r="I163">
        <v>5</v>
      </c>
      <c r="J163">
        <v>35323</v>
      </c>
      <c r="K163">
        <v>0.02</v>
      </c>
      <c r="L163" s="9">
        <v>173082.7</v>
      </c>
      <c r="M163" s="9">
        <v>143224.53</v>
      </c>
      <c r="N163" s="9">
        <v>29858.17</v>
      </c>
      <c r="O163">
        <f>MONTH(TblSales[[#This Row],[Date]])</f>
        <v>5</v>
      </c>
      <c r="P163" t="str">
        <f>TEXT(TblSales[[#This Row],[Date]],"mmm")</f>
        <v>May</v>
      </c>
      <c r="Q163">
        <f>YEAR(TblSales[[#This Row],[Date]])</f>
        <v>2025</v>
      </c>
    </row>
    <row r="164" spans="1:17">
      <c r="A164" t="s">
        <v>401</v>
      </c>
      <c r="B164" s="5" t="s">
        <v>402</v>
      </c>
      <c r="C164" t="s">
        <v>16</v>
      </c>
      <c r="D164" t="s">
        <v>17</v>
      </c>
      <c r="E164" t="s">
        <v>74</v>
      </c>
      <c r="F164" t="s">
        <v>75</v>
      </c>
      <c r="G164" t="s">
        <v>108</v>
      </c>
      <c r="H164" t="s">
        <v>34</v>
      </c>
      <c r="I164">
        <v>3</v>
      </c>
      <c r="J164">
        <v>19263</v>
      </c>
      <c r="K164">
        <v>7.0000000000000007E-2</v>
      </c>
      <c r="L164" s="9">
        <v>53743.77</v>
      </c>
      <c r="M164" s="9">
        <v>46574.33</v>
      </c>
      <c r="N164" s="9">
        <v>7169.44</v>
      </c>
      <c r="O164">
        <f>MONTH(TblSales[[#This Row],[Date]])</f>
        <v>3</v>
      </c>
      <c r="P164" t="str">
        <f>TEXT(TblSales[[#This Row],[Date]],"mmm")</f>
        <v>Mar</v>
      </c>
      <c r="Q164">
        <f>YEAR(TblSales[[#This Row],[Date]])</f>
        <v>2025</v>
      </c>
    </row>
    <row r="165" spans="1:17">
      <c r="A165" t="s">
        <v>403</v>
      </c>
      <c r="B165" s="5" t="s">
        <v>404</v>
      </c>
      <c r="C165" t="s">
        <v>89</v>
      </c>
      <c r="D165" t="s">
        <v>25</v>
      </c>
      <c r="E165" t="s">
        <v>70</v>
      </c>
      <c r="F165" t="s">
        <v>195</v>
      </c>
      <c r="G165" t="s">
        <v>45</v>
      </c>
      <c r="H165" t="s">
        <v>56</v>
      </c>
      <c r="I165">
        <v>3</v>
      </c>
      <c r="J165">
        <v>57117</v>
      </c>
      <c r="K165">
        <v>7.0000000000000007E-2</v>
      </c>
      <c r="L165" s="9">
        <v>159356.43</v>
      </c>
      <c r="M165" s="9">
        <v>126798.81</v>
      </c>
      <c r="N165" s="9">
        <v>32557.62</v>
      </c>
      <c r="O165">
        <f>MONTH(TblSales[[#This Row],[Date]])</f>
        <v>3</v>
      </c>
      <c r="P165" t="str">
        <f>TEXT(TblSales[[#This Row],[Date]],"mmm")</f>
        <v>Mar</v>
      </c>
      <c r="Q165">
        <f>YEAR(TblSales[[#This Row],[Date]])</f>
        <v>2025</v>
      </c>
    </row>
    <row r="166" spans="1:17">
      <c r="A166" t="s">
        <v>405</v>
      </c>
      <c r="B166" s="5" t="s">
        <v>341</v>
      </c>
      <c r="C166" t="s">
        <v>98</v>
      </c>
      <c r="D166" t="s">
        <v>60</v>
      </c>
      <c r="E166" t="s">
        <v>102</v>
      </c>
      <c r="F166" t="s">
        <v>303</v>
      </c>
      <c r="G166" t="s">
        <v>45</v>
      </c>
      <c r="H166" t="s">
        <v>29</v>
      </c>
      <c r="I166">
        <v>5</v>
      </c>
      <c r="J166">
        <v>24135</v>
      </c>
      <c r="K166">
        <v>0.04</v>
      </c>
      <c r="L166" s="9">
        <v>115848</v>
      </c>
      <c r="M166" s="9">
        <v>95461.7</v>
      </c>
      <c r="N166" s="9">
        <v>20386.3</v>
      </c>
      <c r="O166">
        <f>MONTH(TblSales[[#This Row],[Date]])</f>
        <v>1</v>
      </c>
      <c r="P166" t="str">
        <f>TEXT(TblSales[[#This Row],[Date]],"mmm")</f>
        <v>Jan</v>
      </c>
      <c r="Q166">
        <f>YEAR(TblSales[[#This Row],[Date]])</f>
        <v>2025</v>
      </c>
    </row>
    <row r="167" spans="1:17">
      <c r="A167" t="s">
        <v>406</v>
      </c>
      <c r="B167" s="5" t="s">
        <v>407</v>
      </c>
      <c r="C167" t="s">
        <v>37</v>
      </c>
      <c r="D167" t="s">
        <v>25</v>
      </c>
      <c r="E167" t="s">
        <v>70</v>
      </c>
      <c r="F167" t="s">
        <v>195</v>
      </c>
      <c r="G167" t="s">
        <v>45</v>
      </c>
      <c r="H167" t="s">
        <v>21</v>
      </c>
      <c r="I167">
        <v>4</v>
      </c>
      <c r="J167">
        <v>15258</v>
      </c>
      <c r="K167">
        <v>0.06</v>
      </c>
      <c r="L167" s="9">
        <v>57370.080000000002</v>
      </c>
      <c r="M167" s="9">
        <v>44379.85</v>
      </c>
      <c r="N167" s="9">
        <v>12990.23</v>
      </c>
      <c r="O167">
        <f>MONTH(TblSales[[#This Row],[Date]])</f>
        <v>2</v>
      </c>
      <c r="P167" t="str">
        <f>TEXT(TblSales[[#This Row],[Date]],"mmm")</f>
        <v>Feb</v>
      </c>
      <c r="Q167">
        <f>YEAR(TblSales[[#This Row],[Date]])</f>
        <v>2025</v>
      </c>
    </row>
    <row r="168" spans="1:17">
      <c r="A168" t="s">
        <v>408</v>
      </c>
      <c r="B168" s="5" t="s">
        <v>199</v>
      </c>
      <c r="C168" t="s">
        <v>24</v>
      </c>
      <c r="D168" t="s">
        <v>17</v>
      </c>
      <c r="E168" t="s">
        <v>48</v>
      </c>
      <c r="F168" t="s">
        <v>49</v>
      </c>
      <c r="G168" t="s">
        <v>28</v>
      </c>
      <c r="H168" t="s">
        <v>34</v>
      </c>
      <c r="I168">
        <v>5</v>
      </c>
      <c r="J168">
        <v>50667</v>
      </c>
      <c r="K168">
        <v>0.11</v>
      </c>
      <c r="L168" s="9">
        <v>225468.15</v>
      </c>
      <c r="M168" s="9">
        <v>197948.75</v>
      </c>
      <c r="N168" s="9">
        <v>27519.4</v>
      </c>
      <c r="O168">
        <f>MONTH(TblSales[[#This Row],[Date]])</f>
        <v>3</v>
      </c>
      <c r="P168" t="str">
        <f>TEXT(TblSales[[#This Row],[Date]],"mmm")</f>
        <v>Mar</v>
      </c>
      <c r="Q168">
        <f>YEAR(TblSales[[#This Row],[Date]])</f>
        <v>2025</v>
      </c>
    </row>
    <row r="169" spans="1:17">
      <c r="A169" t="s">
        <v>409</v>
      </c>
      <c r="B169" s="5" t="s">
        <v>410</v>
      </c>
      <c r="C169" t="s">
        <v>52</v>
      </c>
      <c r="D169" t="s">
        <v>17</v>
      </c>
      <c r="E169" t="s">
        <v>38</v>
      </c>
      <c r="F169" t="s">
        <v>205</v>
      </c>
      <c r="G169" t="s">
        <v>40</v>
      </c>
      <c r="H169" t="s">
        <v>34</v>
      </c>
      <c r="I169">
        <v>4</v>
      </c>
      <c r="J169">
        <v>20551</v>
      </c>
      <c r="K169">
        <v>0.08</v>
      </c>
      <c r="L169" s="9">
        <v>75627.679999999993</v>
      </c>
      <c r="M169" s="9">
        <v>57051.45</v>
      </c>
      <c r="N169" s="9">
        <v>18576.23</v>
      </c>
      <c r="O169">
        <f>MONTH(TblSales[[#This Row],[Date]])</f>
        <v>7</v>
      </c>
      <c r="P169" t="str">
        <f>TEXT(TblSales[[#This Row],[Date]],"mmm")</f>
        <v>Jul</v>
      </c>
      <c r="Q169">
        <f>YEAR(TblSales[[#This Row],[Date]])</f>
        <v>2025</v>
      </c>
    </row>
    <row r="170" spans="1:17">
      <c r="A170" t="s">
        <v>411</v>
      </c>
      <c r="B170" s="5" t="s">
        <v>167</v>
      </c>
      <c r="C170" t="s">
        <v>32</v>
      </c>
      <c r="D170" t="s">
        <v>53</v>
      </c>
      <c r="E170" t="s">
        <v>127</v>
      </c>
      <c r="F170" t="s">
        <v>131</v>
      </c>
      <c r="G170" t="s">
        <v>67</v>
      </c>
      <c r="H170" t="s">
        <v>21</v>
      </c>
      <c r="I170">
        <v>2</v>
      </c>
      <c r="J170">
        <v>18077</v>
      </c>
      <c r="K170">
        <v>0.06</v>
      </c>
      <c r="L170" s="9">
        <v>33984.76</v>
      </c>
      <c r="M170" s="9">
        <v>27184.57</v>
      </c>
      <c r="N170" s="9">
        <v>6800.19</v>
      </c>
      <c r="O170">
        <f>MONTH(TblSales[[#This Row],[Date]])</f>
        <v>4</v>
      </c>
      <c r="P170" t="str">
        <f>TEXT(TblSales[[#This Row],[Date]],"mmm")</f>
        <v>Apr</v>
      </c>
      <c r="Q170">
        <f>YEAR(TblSales[[#This Row],[Date]])</f>
        <v>2025</v>
      </c>
    </row>
    <row r="171" spans="1:17">
      <c r="A171" t="s">
        <v>412</v>
      </c>
      <c r="B171" s="5" t="s">
        <v>413</v>
      </c>
      <c r="C171" t="s">
        <v>113</v>
      </c>
      <c r="D171" t="s">
        <v>60</v>
      </c>
      <c r="E171" t="s">
        <v>102</v>
      </c>
      <c r="F171" t="s">
        <v>103</v>
      </c>
      <c r="G171" t="s">
        <v>67</v>
      </c>
      <c r="H171" t="s">
        <v>56</v>
      </c>
      <c r="I171">
        <v>5</v>
      </c>
      <c r="J171">
        <v>19405</v>
      </c>
      <c r="K171">
        <v>0.13</v>
      </c>
      <c r="L171" s="9">
        <v>84411.75</v>
      </c>
      <c r="M171" s="9">
        <v>64414.1</v>
      </c>
      <c r="N171" s="9">
        <v>19997.650000000001</v>
      </c>
      <c r="O171">
        <f>MONTH(TblSales[[#This Row],[Date]])</f>
        <v>5</v>
      </c>
      <c r="P171" t="str">
        <f>TEXT(TblSales[[#This Row],[Date]],"mmm")</f>
        <v>May</v>
      </c>
      <c r="Q171">
        <f>YEAR(TblSales[[#This Row],[Date]])</f>
        <v>2025</v>
      </c>
    </row>
    <row r="172" spans="1:17">
      <c r="A172" t="s">
        <v>414</v>
      </c>
      <c r="B172" s="5" t="s">
        <v>407</v>
      </c>
      <c r="C172" t="s">
        <v>37</v>
      </c>
      <c r="D172" t="s">
        <v>60</v>
      </c>
      <c r="E172" t="s">
        <v>102</v>
      </c>
      <c r="F172" t="s">
        <v>103</v>
      </c>
      <c r="G172" t="s">
        <v>33</v>
      </c>
      <c r="H172" t="s">
        <v>34</v>
      </c>
      <c r="I172">
        <v>1</v>
      </c>
      <c r="J172">
        <v>35048</v>
      </c>
      <c r="K172">
        <v>0.04</v>
      </c>
      <c r="L172" s="9">
        <v>33646.080000000002</v>
      </c>
      <c r="M172" s="9">
        <v>24900.94</v>
      </c>
      <c r="N172" s="9">
        <v>8745.14</v>
      </c>
      <c r="O172">
        <f>MONTH(TblSales[[#This Row],[Date]])</f>
        <v>2</v>
      </c>
      <c r="P172" t="str">
        <f>TEXT(TblSales[[#This Row],[Date]],"mmm")</f>
        <v>Feb</v>
      </c>
      <c r="Q172">
        <f>YEAR(TblSales[[#This Row],[Date]])</f>
        <v>2025</v>
      </c>
    </row>
    <row r="173" spans="1:17">
      <c r="A173" t="s">
        <v>415</v>
      </c>
      <c r="B173" s="5" t="s">
        <v>416</v>
      </c>
      <c r="C173" t="s">
        <v>32</v>
      </c>
      <c r="D173" t="s">
        <v>60</v>
      </c>
      <c r="E173" t="s">
        <v>102</v>
      </c>
      <c r="F173" t="s">
        <v>103</v>
      </c>
      <c r="G173" t="s">
        <v>28</v>
      </c>
      <c r="H173" t="s">
        <v>34</v>
      </c>
      <c r="I173">
        <v>1</v>
      </c>
      <c r="J173">
        <v>28577</v>
      </c>
      <c r="K173">
        <v>7.0000000000000007E-2</v>
      </c>
      <c r="L173" s="9">
        <v>26576.61</v>
      </c>
      <c r="M173" s="9">
        <v>22762.080000000002</v>
      </c>
      <c r="N173" s="9">
        <v>3814.53</v>
      </c>
      <c r="O173">
        <f>MONTH(TblSales[[#This Row],[Date]])</f>
        <v>10</v>
      </c>
      <c r="P173" t="str">
        <f>TEXT(TblSales[[#This Row],[Date]],"mmm")</f>
        <v>Oct</v>
      </c>
      <c r="Q173">
        <f>YEAR(TblSales[[#This Row],[Date]])</f>
        <v>2025</v>
      </c>
    </row>
    <row r="174" spans="1:17">
      <c r="A174" t="s">
        <v>417</v>
      </c>
      <c r="B174" s="5" t="s">
        <v>418</v>
      </c>
      <c r="C174" t="s">
        <v>98</v>
      </c>
      <c r="D174" t="s">
        <v>60</v>
      </c>
      <c r="E174" t="s">
        <v>65</v>
      </c>
      <c r="F174" t="s">
        <v>237</v>
      </c>
      <c r="G174" t="s">
        <v>108</v>
      </c>
      <c r="H174" t="s">
        <v>34</v>
      </c>
      <c r="I174">
        <v>5</v>
      </c>
      <c r="J174">
        <v>51381</v>
      </c>
      <c r="K174">
        <v>0.11</v>
      </c>
      <c r="L174" s="9">
        <v>228645.45</v>
      </c>
      <c r="M174" s="9">
        <v>179392.43</v>
      </c>
      <c r="N174" s="9">
        <v>49253.02</v>
      </c>
      <c r="O174">
        <f>MONTH(TblSales[[#This Row],[Date]])</f>
        <v>7</v>
      </c>
      <c r="P174" t="str">
        <f>TEXT(TblSales[[#This Row],[Date]],"mmm")</f>
        <v>Jul</v>
      </c>
      <c r="Q174">
        <f>YEAR(TblSales[[#This Row],[Date]])</f>
        <v>2025</v>
      </c>
    </row>
    <row r="175" spans="1:17">
      <c r="A175" t="s">
        <v>419</v>
      </c>
      <c r="B175" s="5" t="s">
        <v>420</v>
      </c>
      <c r="C175" t="s">
        <v>85</v>
      </c>
      <c r="D175" t="s">
        <v>25</v>
      </c>
      <c r="E175" t="s">
        <v>70</v>
      </c>
      <c r="F175" t="s">
        <v>320</v>
      </c>
      <c r="G175" t="s">
        <v>33</v>
      </c>
      <c r="H175" t="s">
        <v>29</v>
      </c>
      <c r="I175">
        <v>4</v>
      </c>
      <c r="J175">
        <v>48441</v>
      </c>
      <c r="K175">
        <v>0.05</v>
      </c>
      <c r="L175" s="9">
        <v>184075.8</v>
      </c>
      <c r="M175" s="9">
        <v>160150.53</v>
      </c>
      <c r="N175" s="9">
        <v>23925.27</v>
      </c>
      <c r="O175">
        <f>MONTH(TblSales[[#This Row],[Date]])</f>
        <v>3</v>
      </c>
      <c r="P175" t="str">
        <f>TEXT(TblSales[[#This Row],[Date]],"mmm")</f>
        <v>Mar</v>
      </c>
      <c r="Q175">
        <f>YEAR(TblSales[[#This Row],[Date]])</f>
        <v>2025</v>
      </c>
    </row>
    <row r="176" spans="1:17">
      <c r="A176" t="s">
        <v>421</v>
      </c>
      <c r="B176" s="5" t="s">
        <v>305</v>
      </c>
      <c r="C176" t="s">
        <v>32</v>
      </c>
      <c r="D176" t="s">
        <v>53</v>
      </c>
      <c r="E176" t="s">
        <v>148</v>
      </c>
      <c r="F176" t="s">
        <v>422</v>
      </c>
      <c r="G176" t="s">
        <v>33</v>
      </c>
      <c r="H176" t="s">
        <v>34</v>
      </c>
      <c r="I176">
        <v>5</v>
      </c>
      <c r="J176">
        <v>55508</v>
      </c>
      <c r="K176">
        <v>0.12</v>
      </c>
      <c r="L176" s="9">
        <v>244235.2</v>
      </c>
      <c r="M176" s="9">
        <v>204361.88</v>
      </c>
      <c r="N176" s="9">
        <v>39873.32</v>
      </c>
      <c r="O176">
        <f>MONTH(TblSales[[#This Row],[Date]])</f>
        <v>3</v>
      </c>
      <c r="P176" t="str">
        <f>TEXT(TblSales[[#This Row],[Date]],"mmm")</f>
        <v>Mar</v>
      </c>
      <c r="Q176">
        <f>YEAR(TblSales[[#This Row],[Date]])</f>
        <v>2025</v>
      </c>
    </row>
    <row r="177" spans="1:17">
      <c r="A177" t="s">
        <v>423</v>
      </c>
      <c r="B177" s="5" t="s">
        <v>424</v>
      </c>
      <c r="C177" t="s">
        <v>59</v>
      </c>
      <c r="D177" t="s">
        <v>60</v>
      </c>
      <c r="E177" t="s">
        <v>65</v>
      </c>
      <c r="F177" t="s">
        <v>134</v>
      </c>
      <c r="G177" t="s">
        <v>40</v>
      </c>
      <c r="H177" t="s">
        <v>34</v>
      </c>
      <c r="I177">
        <v>5</v>
      </c>
      <c r="J177">
        <v>41211</v>
      </c>
      <c r="K177">
        <v>0.13</v>
      </c>
      <c r="L177" s="9">
        <v>179267.85</v>
      </c>
      <c r="M177" s="9">
        <v>136550.53</v>
      </c>
      <c r="N177" s="9">
        <v>42717.32</v>
      </c>
      <c r="O177">
        <f>MONTH(TblSales[[#This Row],[Date]])</f>
        <v>9</v>
      </c>
      <c r="P177" t="str">
        <f>TEXT(TblSales[[#This Row],[Date]],"mmm")</f>
        <v>Sep</v>
      </c>
      <c r="Q177">
        <f>YEAR(TblSales[[#This Row],[Date]])</f>
        <v>2025</v>
      </c>
    </row>
    <row r="178" spans="1:17">
      <c r="A178" t="s">
        <v>425</v>
      </c>
      <c r="B178" s="5" t="s">
        <v>426</v>
      </c>
      <c r="C178" t="s">
        <v>59</v>
      </c>
      <c r="D178" t="s">
        <v>53</v>
      </c>
      <c r="E178" t="s">
        <v>140</v>
      </c>
      <c r="F178" t="s">
        <v>141</v>
      </c>
      <c r="G178" t="s">
        <v>45</v>
      </c>
      <c r="H178" t="s">
        <v>21</v>
      </c>
      <c r="I178">
        <v>4</v>
      </c>
      <c r="J178">
        <v>14283</v>
      </c>
      <c r="K178">
        <v>0.12</v>
      </c>
      <c r="L178" s="9">
        <v>50276.160000000003</v>
      </c>
      <c r="M178" s="9">
        <v>41633.879999999997</v>
      </c>
      <c r="N178" s="9">
        <v>8642.2800000000007</v>
      </c>
      <c r="O178">
        <f>MONTH(TblSales[[#This Row],[Date]])</f>
        <v>8</v>
      </c>
      <c r="P178" t="str">
        <f>TEXT(TblSales[[#This Row],[Date]],"mmm")</f>
        <v>Aug</v>
      </c>
      <c r="Q178">
        <f>YEAR(TblSales[[#This Row],[Date]])</f>
        <v>2025</v>
      </c>
    </row>
    <row r="179" spans="1:17">
      <c r="A179" t="s">
        <v>427</v>
      </c>
      <c r="B179" s="5" t="s">
        <v>358</v>
      </c>
      <c r="C179" t="s">
        <v>52</v>
      </c>
      <c r="D179" t="s">
        <v>25</v>
      </c>
      <c r="E179" t="s">
        <v>81</v>
      </c>
      <c r="F179" t="s">
        <v>82</v>
      </c>
      <c r="G179" t="s">
        <v>119</v>
      </c>
      <c r="H179" t="s">
        <v>21</v>
      </c>
      <c r="I179">
        <v>2</v>
      </c>
      <c r="J179">
        <v>8350</v>
      </c>
      <c r="K179">
        <v>0.04</v>
      </c>
      <c r="L179" s="9">
        <v>16032</v>
      </c>
      <c r="M179" s="9">
        <v>12252.08</v>
      </c>
      <c r="N179" s="9">
        <v>3779.92</v>
      </c>
      <c r="O179">
        <f>MONTH(TblSales[[#This Row],[Date]])</f>
        <v>9</v>
      </c>
      <c r="P179" t="str">
        <f>TEXT(TblSales[[#This Row],[Date]],"mmm")</f>
        <v>Sep</v>
      </c>
      <c r="Q179">
        <f>YEAR(TblSales[[#This Row],[Date]])</f>
        <v>2025</v>
      </c>
    </row>
    <row r="180" spans="1:17">
      <c r="A180" t="s">
        <v>428</v>
      </c>
      <c r="B180" s="5" t="s">
        <v>429</v>
      </c>
      <c r="C180" t="s">
        <v>98</v>
      </c>
      <c r="D180" t="s">
        <v>17</v>
      </c>
      <c r="E180" t="s">
        <v>48</v>
      </c>
      <c r="F180" t="s">
        <v>172</v>
      </c>
      <c r="G180" t="s">
        <v>45</v>
      </c>
      <c r="H180" t="s">
        <v>21</v>
      </c>
      <c r="I180">
        <v>3</v>
      </c>
      <c r="J180">
        <v>36922</v>
      </c>
      <c r="K180">
        <v>0.13</v>
      </c>
      <c r="L180" s="9">
        <v>96366.42</v>
      </c>
      <c r="M180" s="9">
        <v>70127.570000000007</v>
      </c>
      <c r="N180" s="9">
        <v>26238.85</v>
      </c>
      <c r="O180">
        <f>MONTH(TblSales[[#This Row],[Date]])</f>
        <v>3</v>
      </c>
      <c r="P180" t="str">
        <f>TEXT(TblSales[[#This Row],[Date]],"mmm")</f>
        <v>Mar</v>
      </c>
      <c r="Q180">
        <f>YEAR(TblSales[[#This Row],[Date]])</f>
        <v>2025</v>
      </c>
    </row>
    <row r="181" spans="1:17">
      <c r="A181" t="s">
        <v>430</v>
      </c>
      <c r="B181" s="5" t="s">
        <v>431</v>
      </c>
      <c r="C181" t="s">
        <v>32</v>
      </c>
      <c r="D181" t="s">
        <v>17</v>
      </c>
      <c r="E181" t="s">
        <v>38</v>
      </c>
      <c r="F181" t="s">
        <v>39</v>
      </c>
      <c r="G181" t="s">
        <v>40</v>
      </c>
      <c r="H181" t="s">
        <v>34</v>
      </c>
      <c r="I181">
        <v>5</v>
      </c>
      <c r="J181">
        <v>22300</v>
      </c>
      <c r="K181">
        <v>0.04</v>
      </c>
      <c r="L181" s="9">
        <v>107040</v>
      </c>
      <c r="M181" s="9">
        <v>76400.87</v>
      </c>
      <c r="N181" s="9">
        <v>30639.13</v>
      </c>
      <c r="O181">
        <f>MONTH(TblSales[[#This Row],[Date]])</f>
        <v>1</v>
      </c>
      <c r="P181" t="str">
        <f>TEXT(TblSales[[#This Row],[Date]],"mmm")</f>
        <v>Jan</v>
      </c>
      <c r="Q181">
        <f>YEAR(TblSales[[#This Row],[Date]])</f>
        <v>2025</v>
      </c>
    </row>
    <row r="182" spans="1:17">
      <c r="A182" t="s">
        <v>432</v>
      </c>
      <c r="B182" s="5" t="s">
        <v>433</v>
      </c>
      <c r="C182" t="s">
        <v>98</v>
      </c>
      <c r="D182" t="s">
        <v>17</v>
      </c>
      <c r="E182" t="s">
        <v>38</v>
      </c>
      <c r="F182" t="s">
        <v>114</v>
      </c>
      <c r="G182" t="s">
        <v>20</v>
      </c>
      <c r="H182" t="s">
        <v>29</v>
      </c>
      <c r="I182">
        <v>1</v>
      </c>
      <c r="J182">
        <v>44267</v>
      </c>
      <c r="K182">
        <v>0.09</v>
      </c>
      <c r="L182" s="9">
        <v>40282.97</v>
      </c>
      <c r="M182" s="9">
        <v>31059.67</v>
      </c>
      <c r="N182" s="9">
        <v>9223.2999999999993</v>
      </c>
      <c r="O182">
        <f>MONTH(TblSales[[#This Row],[Date]])</f>
        <v>6</v>
      </c>
      <c r="P182" t="str">
        <f>TEXT(TblSales[[#This Row],[Date]],"mmm")</f>
        <v>Jun</v>
      </c>
      <c r="Q182">
        <f>YEAR(TblSales[[#This Row],[Date]])</f>
        <v>2025</v>
      </c>
    </row>
    <row r="183" spans="1:17">
      <c r="A183" t="s">
        <v>434</v>
      </c>
      <c r="B183" s="5" t="s">
        <v>435</v>
      </c>
      <c r="C183" t="s">
        <v>89</v>
      </c>
      <c r="D183" t="s">
        <v>25</v>
      </c>
      <c r="E183" t="s">
        <v>43</v>
      </c>
      <c r="F183" t="s">
        <v>220</v>
      </c>
      <c r="G183" t="s">
        <v>20</v>
      </c>
      <c r="H183" t="s">
        <v>56</v>
      </c>
      <c r="I183">
        <v>3</v>
      </c>
      <c r="J183">
        <v>34067</v>
      </c>
      <c r="K183">
        <v>0.03</v>
      </c>
      <c r="L183" s="9">
        <v>99134.97</v>
      </c>
      <c r="M183" s="9">
        <v>70838.179999999993</v>
      </c>
      <c r="N183" s="9">
        <v>28296.79</v>
      </c>
      <c r="O183">
        <f>MONTH(TblSales[[#This Row],[Date]])</f>
        <v>1</v>
      </c>
      <c r="P183" t="str">
        <f>TEXT(TblSales[[#This Row],[Date]],"mmm")</f>
        <v>Jan</v>
      </c>
      <c r="Q183">
        <f>YEAR(TblSales[[#This Row],[Date]])</f>
        <v>2025</v>
      </c>
    </row>
    <row r="184" spans="1:17">
      <c r="A184" t="s">
        <v>436</v>
      </c>
      <c r="B184" s="5" t="s">
        <v>300</v>
      </c>
      <c r="C184" t="s">
        <v>32</v>
      </c>
      <c r="D184" t="s">
        <v>17</v>
      </c>
      <c r="E184" t="s">
        <v>48</v>
      </c>
      <c r="F184" t="s">
        <v>172</v>
      </c>
      <c r="G184" t="s">
        <v>45</v>
      </c>
      <c r="H184" t="s">
        <v>34</v>
      </c>
      <c r="I184">
        <v>1</v>
      </c>
      <c r="J184">
        <v>25302</v>
      </c>
      <c r="K184">
        <v>0.13</v>
      </c>
      <c r="L184" s="9">
        <v>22012.74</v>
      </c>
      <c r="M184" s="9">
        <v>16678.14</v>
      </c>
      <c r="N184" s="9">
        <v>5334.6</v>
      </c>
      <c r="O184">
        <f>MONTH(TblSales[[#This Row],[Date]])</f>
        <v>5</v>
      </c>
      <c r="P184" t="str">
        <f>TEXT(TblSales[[#This Row],[Date]],"mmm")</f>
        <v>May</v>
      </c>
      <c r="Q184">
        <f>YEAR(TblSales[[#This Row],[Date]])</f>
        <v>2025</v>
      </c>
    </row>
    <row r="185" spans="1:17">
      <c r="A185" t="s">
        <v>437</v>
      </c>
      <c r="B185" s="5" t="s">
        <v>130</v>
      </c>
      <c r="C185" t="s">
        <v>24</v>
      </c>
      <c r="D185" t="s">
        <v>53</v>
      </c>
      <c r="E185" t="s">
        <v>54</v>
      </c>
      <c r="F185" t="s">
        <v>225</v>
      </c>
      <c r="G185" t="s">
        <v>108</v>
      </c>
      <c r="H185" t="s">
        <v>29</v>
      </c>
      <c r="I185">
        <v>5</v>
      </c>
      <c r="J185">
        <v>58135</v>
      </c>
      <c r="K185">
        <v>0.1</v>
      </c>
      <c r="L185" s="9">
        <v>261607.5</v>
      </c>
      <c r="M185" s="9">
        <v>192205.51</v>
      </c>
      <c r="N185" s="9">
        <v>69401.990000000005</v>
      </c>
      <c r="O185">
        <f>MONTH(TblSales[[#This Row],[Date]])</f>
        <v>8</v>
      </c>
      <c r="P185" t="str">
        <f>TEXT(TblSales[[#This Row],[Date]],"mmm")</f>
        <v>Aug</v>
      </c>
      <c r="Q185">
        <f>YEAR(TblSales[[#This Row],[Date]])</f>
        <v>2025</v>
      </c>
    </row>
    <row r="186" spans="1:17">
      <c r="A186" t="s">
        <v>438</v>
      </c>
      <c r="B186" s="5" t="s">
        <v>439</v>
      </c>
      <c r="C186" t="s">
        <v>98</v>
      </c>
      <c r="D186" t="s">
        <v>25</v>
      </c>
      <c r="E186" t="s">
        <v>70</v>
      </c>
      <c r="F186" t="s">
        <v>320</v>
      </c>
      <c r="G186" t="s">
        <v>45</v>
      </c>
      <c r="H186" t="s">
        <v>29</v>
      </c>
      <c r="I186">
        <v>2</v>
      </c>
      <c r="J186">
        <v>22046</v>
      </c>
      <c r="K186">
        <v>0.12</v>
      </c>
      <c r="L186" s="9">
        <v>38800.959999999999</v>
      </c>
      <c r="M186" s="9">
        <v>32110.58</v>
      </c>
      <c r="N186" s="9">
        <v>6690.38</v>
      </c>
      <c r="O186">
        <f>MONTH(TblSales[[#This Row],[Date]])</f>
        <v>2</v>
      </c>
      <c r="P186" t="str">
        <f>TEXT(TblSales[[#This Row],[Date]],"mmm")</f>
        <v>Feb</v>
      </c>
      <c r="Q186">
        <f>YEAR(TblSales[[#This Row],[Date]])</f>
        <v>2025</v>
      </c>
    </row>
    <row r="187" spans="1:17">
      <c r="A187" t="s">
        <v>440</v>
      </c>
      <c r="B187" s="5" t="s">
        <v>356</v>
      </c>
      <c r="C187" t="s">
        <v>37</v>
      </c>
      <c r="D187" t="s">
        <v>60</v>
      </c>
      <c r="E187" t="s">
        <v>106</v>
      </c>
      <c r="F187" t="s">
        <v>441</v>
      </c>
      <c r="G187" t="s">
        <v>20</v>
      </c>
      <c r="H187" t="s">
        <v>56</v>
      </c>
      <c r="I187">
        <v>1</v>
      </c>
      <c r="J187">
        <v>22040</v>
      </c>
      <c r="K187">
        <v>0.15</v>
      </c>
      <c r="L187" s="9">
        <v>18734</v>
      </c>
      <c r="M187" s="9">
        <v>13577.02</v>
      </c>
      <c r="N187" s="9">
        <v>5156.9799999999996</v>
      </c>
      <c r="O187">
        <f>MONTH(TblSales[[#This Row],[Date]])</f>
        <v>5</v>
      </c>
      <c r="P187" t="str">
        <f>TEXT(TblSales[[#This Row],[Date]],"mmm")</f>
        <v>May</v>
      </c>
      <c r="Q187">
        <f>YEAR(TblSales[[#This Row],[Date]])</f>
        <v>2025</v>
      </c>
    </row>
    <row r="188" spans="1:17">
      <c r="A188" t="s">
        <v>442</v>
      </c>
      <c r="B188" s="5" t="s">
        <v>443</v>
      </c>
      <c r="C188" t="s">
        <v>32</v>
      </c>
      <c r="D188" t="s">
        <v>25</v>
      </c>
      <c r="E188" t="s">
        <v>70</v>
      </c>
      <c r="F188" t="s">
        <v>71</v>
      </c>
      <c r="G188" t="s">
        <v>40</v>
      </c>
      <c r="H188" t="s">
        <v>34</v>
      </c>
      <c r="I188">
        <v>3</v>
      </c>
      <c r="J188">
        <v>27310</v>
      </c>
      <c r="K188">
        <v>0.05</v>
      </c>
      <c r="L188" s="9">
        <v>77833.5</v>
      </c>
      <c r="M188" s="9">
        <v>62124.3</v>
      </c>
      <c r="N188" s="9">
        <v>15709.2</v>
      </c>
      <c r="O188">
        <f>MONTH(TblSales[[#This Row],[Date]])</f>
        <v>8</v>
      </c>
      <c r="P188" t="str">
        <f>TEXT(TblSales[[#This Row],[Date]],"mmm")</f>
        <v>Aug</v>
      </c>
      <c r="Q188">
        <f>YEAR(TblSales[[#This Row],[Date]])</f>
        <v>2025</v>
      </c>
    </row>
    <row r="189" spans="1:17">
      <c r="A189" t="s">
        <v>444</v>
      </c>
      <c r="B189" s="5" t="s">
        <v>222</v>
      </c>
      <c r="C189" t="s">
        <v>98</v>
      </c>
      <c r="D189" t="s">
        <v>60</v>
      </c>
      <c r="E189" t="s">
        <v>65</v>
      </c>
      <c r="F189" t="s">
        <v>134</v>
      </c>
      <c r="G189" t="s">
        <v>108</v>
      </c>
      <c r="H189" t="s">
        <v>21</v>
      </c>
      <c r="I189">
        <v>3</v>
      </c>
      <c r="J189">
        <v>49428</v>
      </c>
      <c r="K189">
        <v>0.08</v>
      </c>
      <c r="L189" s="9">
        <v>136421.28</v>
      </c>
      <c r="M189" s="9">
        <v>119766.64</v>
      </c>
      <c r="N189" s="9">
        <v>16654.64</v>
      </c>
      <c r="O189">
        <f>MONTH(TblSales[[#This Row],[Date]])</f>
        <v>5</v>
      </c>
      <c r="P189" t="str">
        <f>TEXT(TblSales[[#This Row],[Date]],"mmm")</f>
        <v>May</v>
      </c>
      <c r="Q189">
        <f>YEAR(TblSales[[#This Row],[Date]])</f>
        <v>2025</v>
      </c>
    </row>
    <row r="190" spans="1:17">
      <c r="A190" t="s">
        <v>445</v>
      </c>
      <c r="B190" s="5" t="s">
        <v>384</v>
      </c>
      <c r="C190" t="s">
        <v>89</v>
      </c>
      <c r="D190" t="s">
        <v>53</v>
      </c>
      <c r="E190" t="s">
        <v>140</v>
      </c>
      <c r="F190" t="s">
        <v>141</v>
      </c>
      <c r="G190" t="s">
        <v>40</v>
      </c>
      <c r="H190" t="s">
        <v>21</v>
      </c>
      <c r="I190">
        <v>4</v>
      </c>
      <c r="J190">
        <v>38728</v>
      </c>
      <c r="K190">
        <v>0.12</v>
      </c>
      <c r="L190" s="9">
        <v>136322.56</v>
      </c>
      <c r="M190" s="9">
        <v>121187.46</v>
      </c>
      <c r="N190" s="9">
        <v>15135.1</v>
      </c>
      <c r="O190">
        <f>MONTH(TblSales[[#This Row],[Date]])</f>
        <v>3</v>
      </c>
      <c r="P190" t="str">
        <f>TEXT(TblSales[[#This Row],[Date]],"mmm")</f>
        <v>Mar</v>
      </c>
      <c r="Q190">
        <f>YEAR(TblSales[[#This Row],[Date]])</f>
        <v>2025</v>
      </c>
    </row>
    <row r="191" spans="1:17">
      <c r="A191" t="s">
        <v>446</v>
      </c>
      <c r="B191" s="5" t="s">
        <v>447</v>
      </c>
      <c r="C191" t="s">
        <v>59</v>
      </c>
      <c r="D191" t="s">
        <v>17</v>
      </c>
      <c r="E191" t="s">
        <v>48</v>
      </c>
      <c r="F191" t="s">
        <v>49</v>
      </c>
      <c r="G191" t="s">
        <v>45</v>
      </c>
      <c r="H191" t="s">
        <v>34</v>
      </c>
      <c r="I191">
        <v>5</v>
      </c>
      <c r="J191">
        <v>52579</v>
      </c>
      <c r="K191">
        <v>0.04</v>
      </c>
      <c r="L191" s="9">
        <v>252379.2</v>
      </c>
      <c r="M191" s="9">
        <v>177059.91</v>
      </c>
      <c r="N191" s="9">
        <v>75319.289999999994</v>
      </c>
      <c r="O191">
        <f>MONTH(TblSales[[#This Row],[Date]])</f>
        <v>6</v>
      </c>
      <c r="P191" t="str">
        <f>TEXT(TblSales[[#This Row],[Date]],"mmm")</f>
        <v>Jun</v>
      </c>
      <c r="Q191">
        <f>YEAR(TblSales[[#This Row],[Date]])</f>
        <v>2025</v>
      </c>
    </row>
    <row r="192" spans="1:17">
      <c r="A192" t="s">
        <v>448</v>
      </c>
      <c r="B192" s="5" t="s">
        <v>387</v>
      </c>
      <c r="C192" t="s">
        <v>85</v>
      </c>
      <c r="D192" t="s">
        <v>25</v>
      </c>
      <c r="E192" t="s">
        <v>81</v>
      </c>
      <c r="F192" t="s">
        <v>377</v>
      </c>
      <c r="G192" t="s">
        <v>28</v>
      </c>
      <c r="H192" t="s">
        <v>21</v>
      </c>
      <c r="I192">
        <v>4</v>
      </c>
      <c r="J192">
        <v>24244</v>
      </c>
      <c r="K192">
        <v>0.02</v>
      </c>
      <c r="L192" s="9">
        <v>95036.479999999996</v>
      </c>
      <c r="M192" s="9">
        <v>69564.52</v>
      </c>
      <c r="N192" s="9">
        <v>25471.96</v>
      </c>
      <c r="O192">
        <f>MONTH(TblSales[[#This Row],[Date]])</f>
        <v>6</v>
      </c>
      <c r="P192" t="str">
        <f>TEXT(TblSales[[#This Row],[Date]],"mmm")</f>
        <v>Jun</v>
      </c>
      <c r="Q192">
        <f>YEAR(TblSales[[#This Row],[Date]])</f>
        <v>2025</v>
      </c>
    </row>
    <row r="193" spans="1:17">
      <c r="A193" t="s">
        <v>449</v>
      </c>
      <c r="B193" s="5" t="s">
        <v>450</v>
      </c>
      <c r="C193" t="s">
        <v>113</v>
      </c>
      <c r="D193" t="s">
        <v>25</v>
      </c>
      <c r="E193" t="s">
        <v>43</v>
      </c>
      <c r="F193" t="s">
        <v>44</v>
      </c>
      <c r="G193" t="s">
        <v>119</v>
      </c>
      <c r="H193" t="s">
        <v>29</v>
      </c>
      <c r="I193">
        <v>3</v>
      </c>
      <c r="J193">
        <v>57412</v>
      </c>
      <c r="K193">
        <v>0.09</v>
      </c>
      <c r="L193" s="9">
        <v>156734.76</v>
      </c>
      <c r="M193" s="9">
        <v>133276.37</v>
      </c>
      <c r="N193" s="9">
        <v>23458.39</v>
      </c>
      <c r="O193">
        <f>MONTH(TblSales[[#This Row],[Date]])</f>
        <v>4</v>
      </c>
      <c r="P193" t="str">
        <f>TEXT(TblSales[[#This Row],[Date]],"mmm")</f>
        <v>Apr</v>
      </c>
      <c r="Q193">
        <f>YEAR(TblSales[[#This Row],[Date]])</f>
        <v>2025</v>
      </c>
    </row>
    <row r="194" spans="1:17">
      <c r="A194" t="s">
        <v>451</v>
      </c>
      <c r="B194" s="5" t="s">
        <v>452</v>
      </c>
      <c r="C194" t="s">
        <v>98</v>
      </c>
      <c r="D194" t="s">
        <v>25</v>
      </c>
      <c r="E194" t="s">
        <v>26</v>
      </c>
      <c r="F194" t="s">
        <v>99</v>
      </c>
      <c r="G194" t="s">
        <v>108</v>
      </c>
      <c r="H194" t="s">
        <v>29</v>
      </c>
      <c r="I194">
        <v>4</v>
      </c>
      <c r="J194">
        <v>18571</v>
      </c>
      <c r="K194">
        <v>0.05</v>
      </c>
      <c r="L194" s="9">
        <v>70569.8</v>
      </c>
      <c r="M194" s="9">
        <v>55461.95</v>
      </c>
      <c r="N194" s="9">
        <v>15107.85</v>
      </c>
      <c r="O194">
        <f>MONTH(TblSales[[#This Row],[Date]])</f>
        <v>3</v>
      </c>
      <c r="P194" t="str">
        <f>TEXT(TblSales[[#This Row],[Date]],"mmm")</f>
        <v>Mar</v>
      </c>
      <c r="Q194">
        <f>YEAR(TblSales[[#This Row],[Date]])</f>
        <v>2025</v>
      </c>
    </row>
    <row r="195" spans="1:17">
      <c r="A195" t="s">
        <v>453</v>
      </c>
      <c r="B195" s="5" t="s">
        <v>452</v>
      </c>
      <c r="C195" t="s">
        <v>89</v>
      </c>
      <c r="D195" t="s">
        <v>25</v>
      </c>
      <c r="E195" t="s">
        <v>70</v>
      </c>
      <c r="F195" t="s">
        <v>195</v>
      </c>
      <c r="G195" t="s">
        <v>28</v>
      </c>
      <c r="H195" t="s">
        <v>29</v>
      </c>
      <c r="I195">
        <v>4</v>
      </c>
      <c r="J195">
        <v>27800</v>
      </c>
      <c r="K195">
        <v>0.05</v>
      </c>
      <c r="L195" s="9">
        <v>105640</v>
      </c>
      <c r="M195" s="9">
        <v>83218.06</v>
      </c>
      <c r="N195" s="9">
        <v>22421.94</v>
      </c>
      <c r="O195">
        <f>MONTH(TblSales[[#This Row],[Date]])</f>
        <v>3</v>
      </c>
      <c r="P195" t="str">
        <f>TEXT(TblSales[[#This Row],[Date]],"mmm")</f>
        <v>Mar</v>
      </c>
      <c r="Q195">
        <f>YEAR(TblSales[[#This Row],[Date]])</f>
        <v>2025</v>
      </c>
    </row>
    <row r="196" spans="1:17">
      <c r="A196" t="s">
        <v>454</v>
      </c>
      <c r="B196" s="5" t="s">
        <v>455</v>
      </c>
      <c r="C196" t="s">
        <v>52</v>
      </c>
      <c r="D196" t="s">
        <v>53</v>
      </c>
      <c r="E196" t="s">
        <v>127</v>
      </c>
      <c r="F196" t="s">
        <v>137</v>
      </c>
      <c r="G196" t="s">
        <v>45</v>
      </c>
      <c r="H196" t="s">
        <v>21</v>
      </c>
      <c r="I196">
        <v>1</v>
      </c>
      <c r="J196">
        <v>10537</v>
      </c>
      <c r="K196">
        <v>0.06</v>
      </c>
      <c r="L196" s="9">
        <v>9904.7800000000007</v>
      </c>
      <c r="M196" s="9">
        <v>8084.69</v>
      </c>
      <c r="N196" s="9">
        <v>1820.09</v>
      </c>
      <c r="O196">
        <f>MONTH(TblSales[[#This Row],[Date]])</f>
        <v>2</v>
      </c>
      <c r="P196" t="str">
        <f>TEXT(TblSales[[#This Row],[Date]],"mmm")</f>
        <v>Feb</v>
      </c>
      <c r="Q196">
        <f>YEAR(TblSales[[#This Row],[Date]])</f>
        <v>2025</v>
      </c>
    </row>
    <row r="197" spans="1:17">
      <c r="A197" t="s">
        <v>456</v>
      </c>
      <c r="B197" s="5" t="s">
        <v>169</v>
      </c>
      <c r="C197" t="s">
        <v>113</v>
      </c>
      <c r="D197" t="s">
        <v>25</v>
      </c>
      <c r="E197" t="s">
        <v>81</v>
      </c>
      <c r="F197" t="s">
        <v>93</v>
      </c>
      <c r="G197" t="s">
        <v>28</v>
      </c>
      <c r="H197" t="s">
        <v>34</v>
      </c>
      <c r="I197">
        <v>1</v>
      </c>
      <c r="J197">
        <v>13613</v>
      </c>
      <c r="K197">
        <v>0.12</v>
      </c>
      <c r="L197" s="9">
        <v>11979.44</v>
      </c>
      <c r="M197" s="9">
        <v>10545.31</v>
      </c>
      <c r="N197" s="9">
        <v>1434.13</v>
      </c>
      <c r="O197">
        <f>MONTH(TblSales[[#This Row],[Date]])</f>
        <v>5</v>
      </c>
      <c r="P197" t="str">
        <f>TEXT(TblSales[[#This Row],[Date]],"mmm")</f>
        <v>May</v>
      </c>
      <c r="Q197">
        <f>YEAR(TblSales[[#This Row],[Date]])</f>
        <v>2025</v>
      </c>
    </row>
    <row r="198" spans="1:17">
      <c r="A198" t="s">
        <v>457</v>
      </c>
      <c r="B198" s="5" t="s">
        <v>458</v>
      </c>
      <c r="C198" t="s">
        <v>52</v>
      </c>
      <c r="D198" t="s">
        <v>17</v>
      </c>
      <c r="E198" t="s">
        <v>18</v>
      </c>
      <c r="F198" t="s">
        <v>298</v>
      </c>
      <c r="G198" t="s">
        <v>119</v>
      </c>
      <c r="H198" t="s">
        <v>29</v>
      </c>
      <c r="I198">
        <v>1</v>
      </c>
      <c r="J198">
        <v>4564</v>
      </c>
      <c r="K198">
        <v>0.14000000000000001</v>
      </c>
      <c r="L198" s="9">
        <v>3925.04</v>
      </c>
      <c r="M198" s="9">
        <v>3263.25</v>
      </c>
      <c r="N198" s="9">
        <v>661.79</v>
      </c>
      <c r="O198">
        <f>MONTH(TblSales[[#This Row],[Date]])</f>
        <v>7</v>
      </c>
      <c r="P198" t="str">
        <f>TEXT(TblSales[[#This Row],[Date]],"mmm")</f>
        <v>Jul</v>
      </c>
      <c r="Q198">
        <f>YEAR(TblSales[[#This Row],[Date]])</f>
        <v>2025</v>
      </c>
    </row>
    <row r="199" spans="1:17">
      <c r="A199" t="s">
        <v>459</v>
      </c>
      <c r="B199" s="5" t="s">
        <v>443</v>
      </c>
      <c r="C199" t="s">
        <v>85</v>
      </c>
      <c r="D199" t="s">
        <v>53</v>
      </c>
      <c r="E199" t="s">
        <v>54</v>
      </c>
      <c r="F199" t="s">
        <v>78</v>
      </c>
      <c r="G199" t="s">
        <v>40</v>
      </c>
      <c r="H199" t="s">
        <v>21</v>
      </c>
      <c r="I199">
        <v>3</v>
      </c>
      <c r="J199">
        <v>6293</v>
      </c>
      <c r="K199">
        <v>0.08</v>
      </c>
      <c r="L199" s="9">
        <v>17368.68</v>
      </c>
      <c r="M199" s="9">
        <v>12781.33</v>
      </c>
      <c r="N199" s="9">
        <v>4587.3500000000004</v>
      </c>
      <c r="O199">
        <f>MONTH(TblSales[[#This Row],[Date]])</f>
        <v>8</v>
      </c>
      <c r="P199" t="str">
        <f>TEXT(TblSales[[#This Row],[Date]],"mmm")</f>
        <v>Aug</v>
      </c>
      <c r="Q199">
        <f>YEAR(TblSales[[#This Row],[Date]])</f>
        <v>2025</v>
      </c>
    </row>
    <row r="200" spans="1:17">
      <c r="A200" t="s">
        <v>460</v>
      </c>
      <c r="B200" s="5" t="s">
        <v>452</v>
      </c>
      <c r="C200" t="s">
        <v>113</v>
      </c>
      <c r="D200" t="s">
        <v>17</v>
      </c>
      <c r="E200" t="s">
        <v>38</v>
      </c>
      <c r="F200" t="s">
        <v>39</v>
      </c>
      <c r="G200" t="s">
        <v>45</v>
      </c>
      <c r="H200" t="s">
        <v>56</v>
      </c>
      <c r="I200">
        <v>3</v>
      </c>
      <c r="J200">
        <v>20112</v>
      </c>
      <c r="K200">
        <v>0.04</v>
      </c>
      <c r="L200" s="9">
        <v>57922.559999999998</v>
      </c>
      <c r="M200" s="9">
        <v>48846.03</v>
      </c>
      <c r="N200" s="9">
        <v>9076.5300000000007</v>
      </c>
      <c r="O200">
        <f>MONTH(TblSales[[#This Row],[Date]])</f>
        <v>3</v>
      </c>
      <c r="P200" t="str">
        <f>TEXT(TblSales[[#This Row],[Date]],"mmm")</f>
        <v>Mar</v>
      </c>
      <c r="Q200">
        <f>YEAR(TblSales[[#This Row],[Date]])</f>
        <v>2025</v>
      </c>
    </row>
    <row r="201" spans="1:17">
      <c r="A201" t="s">
        <v>461</v>
      </c>
      <c r="B201" s="5" t="s">
        <v>462</v>
      </c>
      <c r="C201" t="s">
        <v>16</v>
      </c>
      <c r="D201" t="s">
        <v>17</v>
      </c>
      <c r="E201" t="s">
        <v>18</v>
      </c>
      <c r="F201" t="s">
        <v>86</v>
      </c>
      <c r="G201" t="s">
        <v>67</v>
      </c>
      <c r="H201" t="s">
        <v>21</v>
      </c>
      <c r="I201">
        <v>4</v>
      </c>
      <c r="J201">
        <v>50916</v>
      </c>
      <c r="K201">
        <v>0.09</v>
      </c>
      <c r="L201" s="9">
        <v>185334.24</v>
      </c>
      <c r="M201" s="9">
        <v>163881.06</v>
      </c>
      <c r="N201" s="9">
        <v>21453.18</v>
      </c>
      <c r="O201">
        <f>MONTH(TblSales[[#This Row],[Date]])</f>
        <v>6</v>
      </c>
      <c r="P201" t="str">
        <f>TEXT(TblSales[[#This Row],[Date]],"mmm")</f>
        <v>Jun</v>
      </c>
      <c r="Q201">
        <f>YEAR(TblSales[[#This Row],[Date]])</f>
        <v>2025</v>
      </c>
    </row>
    <row r="202" spans="1:17">
      <c r="A202" t="s">
        <v>463</v>
      </c>
      <c r="B202" s="5" t="s">
        <v>169</v>
      </c>
      <c r="C202" t="s">
        <v>24</v>
      </c>
      <c r="D202" t="s">
        <v>60</v>
      </c>
      <c r="E202" t="s">
        <v>106</v>
      </c>
      <c r="F202" t="s">
        <v>174</v>
      </c>
      <c r="G202" t="s">
        <v>28</v>
      </c>
      <c r="H202" t="s">
        <v>34</v>
      </c>
      <c r="I202">
        <v>3</v>
      </c>
      <c r="J202">
        <v>32845</v>
      </c>
      <c r="K202">
        <v>0.05</v>
      </c>
      <c r="L202" s="9">
        <v>93608.25</v>
      </c>
      <c r="M202" s="9">
        <v>78321.64</v>
      </c>
      <c r="N202" s="9">
        <v>15286.61</v>
      </c>
      <c r="O202">
        <f>MONTH(TblSales[[#This Row],[Date]])</f>
        <v>5</v>
      </c>
      <c r="P202" t="str">
        <f>TEXT(TblSales[[#This Row],[Date]],"mmm")</f>
        <v>May</v>
      </c>
      <c r="Q202">
        <f>YEAR(TblSales[[#This Row],[Date]])</f>
        <v>2025</v>
      </c>
    </row>
    <row r="203" spans="1:17">
      <c r="A203" t="s">
        <v>464</v>
      </c>
      <c r="B203" s="5" t="s">
        <v>465</v>
      </c>
      <c r="C203" t="s">
        <v>98</v>
      </c>
      <c r="D203" t="s">
        <v>25</v>
      </c>
      <c r="E203" t="s">
        <v>43</v>
      </c>
      <c r="F203" t="s">
        <v>220</v>
      </c>
      <c r="G203" t="s">
        <v>119</v>
      </c>
      <c r="H203" t="s">
        <v>56</v>
      </c>
      <c r="I203">
        <v>2</v>
      </c>
      <c r="J203">
        <v>10027</v>
      </c>
      <c r="K203">
        <v>7.0000000000000007E-2</v>
      </c>
      <c r="L203" s="9">
        <v>18650.22</v>
      </c>
      <c r="M203" s="9">
        <v>16696.919999999998</v>
      </c>
      <c r="N203" s="9">
        <v>1953.3</v>
      </c>
      <c r="O203">
        <f>MONTH(TblSales[[#This Row],[Date]])</f>
        <v>6</v>
      </c>
      <c r="P203" t="str">
        <f>TEXT(TblSales[[#This Row],[Date]],"mmm")</f>
        <v>Jun</v>
      </c>
      <c r="Q203">
        <f>YEAR(TblSales[[#This Row],[Date]])</f>
        <v>2025</v>
      </c>
    </row>
    <row r="204" spans="1:17">
      <c r="A204" t="s">
        <v>466</v>
      </c>
      <c r="B204" s="5" t="s">
        <v>123</v>
      </c>
      <c r="C204" t="s">
        <v>113</v>
      </c>
      <c r="D204" t="s">
        <v>17</v>
      </c>
      <c r="E204" t="s">
        <v>18</v>
      </c>
      <c r="F204" t="s">
        <v>266</v>
      </c>
      <c r="G204" t="s">
        <v>33</v>
      </c>
      <c r="H204" t="s">
        <v>29</v>
      </c>
      <c r="I204">
        <v>4</v>
      </c>
      <c r="J204">
        <v>18615</v>
      </c>
      <c r="K204">
        <v>0.04</v>
      </c>
      <c r="L204" s="9">
        <v>71481.600000000006</v>
      </c>
      <c r="M204" s="9">
        <v>63875.23</v>
      </c>
      <c r="N204" s="9">
        <v>7606.37</v>
      </c>
      <c r="O204">
        <f>MONTH(TblSales[[#This Row],[Date]])</f>
        <v>7</v>
      </c>
      <c r="P204" t="str">
        <f>TEXT(TblSales[[#This Row],[Date]],"mmm")</f>
        <v>Jul</v>
      </c>
      <c r="Q204">
        <f>YEAR(TblSales[[#This Row],[Date]])</f>
        <v>2025</v>
      </c>
    </row>
    <row r="205" spans="1:17">
      <c r="A205" t="s">
        <v>467</v>
      </c>
      <c r="B205" s="5" t="s">
        <v>468</v>
      </c>
      <c r="C205" t="s">
        <v>85</v>
      </c>
      <c r="D205" t="s">
        <v>17</v>
      </c>
      <c r="E205" t="s">
        <v>74</v>
      </c>
      <c r="F205" t="s">
        <v>75</v>
      </c>
      <c r="G205" t="s">
        <v>40</v>
      </c>
      <c r="H205" t="s">
        <v>29</v>
      </c>
      <c r="I205">
        <v>1</v>
      </c>
      <c r="J205">
        <v>47042</v>
      </c>
      <c r="K205">
        <v>0.08</v>
      </c>
      <c r="L205" s="9">
        <v>43278.64</v>
      </c>
      <c r="M205" s="9">
        <v>36541.440000000002</v>
      </c>
      <c r="N205" s="9">
        <v>6737.2</v>
      </c>
      <c r="O205">
        <f>MONTH(TblSales[[#This Row],[Date]])</f>
        <v>7</v>
      </c>
      <c r="P205" t="str">
        <f>TEXT(TblSales[[#This Row],[Date]],"mmm")</f>
        <v>Jul</v>
      </c>
      <c r="Q205">
        <f>YEAR(TblSales[[#This Row],[Date]])</f>
        <v>2025</v>
      </c>
    </row>
    <row r="206" spans="1:17">
      <c r="A206" t="s">
        <v>469</v>
      </c>
      <c r="B206" s="5" t="s">
        <v>325</v>
      </c>
      <c r="C206" t="s">
        <v>37</v>
      </c>
      <c r="D206" t="s">
        <v>25</v>
      </c>
      <c r="E206" t="s">
        <v>43</v>
      </c>
      <c r="F206" t="s">
        <v>220</v>
      </c>
      <c r="G206" t="s">
        <v>20</v>
      </c>
      <c r="H206" t="s">
        <v>34</v>
      </c>
      <c r="I206">
        <v>5</v>
      </c>
      <c r="J206">
        <v>43746</v>
      </c>
      <c r="K206">
        <v>0.05</v>
      </c>
      <c r="L206" s="9">
        <v>207793.5</v>
      </c>
      <c r="M206" s="9">
        <v>157011.39000000001</v>
      </c>
      <c r="N206" s="9">
        <v>50782.11</v>
      </c>
      <c r="O206">
        <f>MONTH(TblSales[[#This Row],[Date]])</f>
        <v>3</v>
      </c>
      <c r="P206" t="str">
        <f>TEXT(TblSales[[#This Row],[Date]],"mmm")</f>
        <v>Mar</v>
      </c>
      <c r="Q206">
        <f>YEAR(TblSales[[#This Row],[Date]])</f>
        <v>2025</v>
      </c>
    </row>
    <row r="207" spans="1:17">
      <c r="A207" t="s">
        <v>470</v>
      </c>
      <c r="B207" s="5" t="s">
        <v>471</v>
      </c>
      <c r="C207" t="s">
        <v>85</v>
      </c>
      <c r="D207" t="s">
        <v>53</v>
      </c>
      <c r="E207" t="s">
        <v>140</v>
      </c>
      <c r="F207" t="s">
        <v>217</v>
      </c>
      <c r="G207" t="s">
        <v>67</v>
      </c>
      <c r="H207" t="s">
        <v>34</v>
      </c>
      <c r="I207">
        <v>4</v>
      </c>
      <c r="J207">
        <v>17287</v>
      </c>
      <c r="K207">
        <v>0.05</v>
      </c>
      <c r="L207" s="9">
        <v>65690.600000000006</v>
      </c>
      <c r="M207" s="9">
        <v>46827.95</v>
      </c>
      <c r="N207" s="9">
        <v>18862.650000000001</v>
      </c>
      <c r="O207">
        <f>MONTH(TblSales[[#This Row],[Date]])</f>
        <v>8</v>
      </c>
      <c r="P207" t="str">
        <f>TEXT(TblSales[[#This Row],[Date]],"mmm")</f>
        <v>Aug</v>
      </c>
      <c r="Q207">
        <f>YEAR(TblSales[[#This Row],[Date]])</f>
        <v>2025</v>
      </c>
    </row>
    <row r="208" spans="1:17">
      <c r="A208" t="s">
        <v>472</v>
      </c>
      <c r="B208" s="5" t="s">
        <v>300</v>
      </c>
      <c r="C208" t="s">
        <v>98</v>
      </c>
      <c r="D208" t="s">
        <v>17</v>
      </c>
      <c r="E208" t="s">
        <v>74</v>
      </c>
      <c r="F208" t="s">
        <v>368</v>
      </c>
      <c r="G208" t="s">
        <v>28</v>
      </c>
      <c r="H208" t="s">
        <v>34</v>
      </c>
      <c r="I208">
        <v>3</v>
      </c>
      <c r="J208">
        <v>49266</v>
      </c>
      <c r="K208">
        <v>0.1</v>
      </c>
      <c r="L208" s="9">
        <v>133018.20000000001</v>
      </c>
      <c r="M208" s="9">
        <v>101297.16</v>
      </c>
      <c r="N208" s="9">
        <v>31721.040000000001</v>
      </c>
      <c r="O208">
        <f>MONTH(TblSales[[#This Row],[Date]])</f>
        <v>5</v>
      </c>
      <c r="P208" t="str">
        <f>TEXT(TblSales[[#This Row],[Date]],"mmm")</f>
        <v>May</v>
      </c>
      <c r="Q208">
        <f>YEAR(TblSales[[#This Row],[Date]])</f>
        <v>2025</v>
      </c>
    </row>
    <row r="209" spans="1:17">
      <c r="A209" t="s">
        <v>473</v>
      </c>
      <c r="B209" s="5" t="s">
        <v>256</v>
      </c>
      <c r="C209" t="s">
        <v>32</v>
      </c>
      <c r="D209" t="s">
        <v>60</v>
      </c>
      <c r="E209" t="s">
        <v>106</v>
      </c>
      <c r="F209" t="s">
        <v>209</v>
      </c>
      <c r="G209" t="s">
        <v>45</v>
      </c>
      <c r="H209" t="s">
        <v>34</v>
      </c>
      <c r="I209">
        <v>1</v>
      </c>
      <c r="J209">
        <v>4428</v>
      </c>
      <c r="K209">
        <v>0.04</v>
      </c>
      <c r="L209" s="9">
        <v>4250.88</v>
      </c>
      <c r="M209" s="9">
        <v>3252.13</v>
      </c>
      <c r="N209" s="9">
        <v>998.75</v>
      </c>
      <c r="O209">
        <f>MONTH(TblSales[[#This Row],[Date]])</f>
        <v>9</v>
      </c>
      <c r="P209" t="str">
        <f>TEXT(TblSales[[#This Row],[Date]],"mmm")</f>
        <v>Sep</v>
      </c>
      <c r="Q209">
        <f>YEAR(TblSales[[#This Row],[Date]])</f>
        <v>2025</v>
      </c>
    </row>
    <row r="210" spans="1:17">
      <c r="A210" t="s">
        <v>474</v>
      </c>
      <c r="B210" s="5" t="s">
        <v>450</v>
      </c>
      <c r="C210" t="s">
        <v>32</v>
      </c>
      <c r="D210" t="s">
        <v>60</v>
      </c>
      <c r="E210" t="s">
        <v>102</v>
      </c>
      <c r="F210" t="s">
        <v>103</v>
      </c>
      <c r="G210" t="s">
        <v>40</v>
      </c>
      <c r="H210" t="s">
        <v>34</v>
      </c>
      <c r="I210">
        <v>2</v>
      </c>
      <c r="J210">
        <v>36917</v>
      </c>
      <c r="K210">
        <v>0.03</v>
      </c>
      <c r="L210" s="9">
        <v>71618.98</v>
      </c>
      <c r="M210" s="9">
        <v>56573.17</v>
      </c>
      <c r="N210" s="9">
        <v>15045.81</v>
      </c>
      <c r="O210">
        <f>MONTH(TblSales[[#This Row],[Date]])</f>
        <v>4</v>
      </c>
      <c r="P210" t="str">
        <f>TEXT(TblSales[[#This Row],[Date]],"mmm")</f>
        <v>Apr</v>
      </c>
      <c r="Q210">
        <f>YEAR(TblSales[[#This Row],[Date]])</f>
        <v>2025</v>
      </c>
    </row>
    <row r="211" spans="1:17">
      <c r="A211" t="s">
        <v>475</v>
      </c>
      <c r="B211" s="5" t="s">
        <v>204</v>
      </c>
      <c r="C211" t="s">
        <v>89</v>
      </c>
      <c r="D211" t="s">
        <v>60</v>
      </c>
      <c r="E211" t="s">
        <v>61</v>
      </c>
      <c r="F211" t="s">
        <v>395</v>
      </c>
      <c r="G211" t="s">
        <v>108</v>
      </c>
      <c r="H211" t="s">
        <v>21</v>
      </c>
      <c r="I211">
        <v>3</v>
      </c>
      <c r="J211">
        <v>8300</v>
      </c>
      <c r="K211">
        <v>7.0000000000000007E-2</v>
      </c>
      <c r="L211" s="9">
        <v>23157</v>
      </c>
      <c r="M211" s="9">
        <v>20485.45</v>
      </c>
      <c r="N211" s="9">
        <v>2671.55</v>
      </c>
      <c r="O211">
        <f>MONTH(TblSales[[#This Row],[Date]])</f>
        <v>5</v>
      </c>
      <c r="P211" t="str">
        <f>TEXT(TblSales[[#This Row],[Date]],"mmm")</f>
        <v>May</v>
      </c>
      <c r="Q211">
        <f>YEAR(TblSales[[#This Row],[Date]])</f>
        <v>2025</v>
      </c>
    </row>
    <row r="212" spans="1:17">
      <c r="A212" t="s">
        <v>476</v>
      </c>
      <c r="B212" s="5" t="s">
        <v>477</v>
      </c>
      <c r="C212" t="s">
        <v>24</v>
      </c>
      <c r="D212" t="s">
        <v>53</v>
      </c>
      <c r="E212" t="s">
        <v>54</v>
      </c>
      <c r="F212" t="s">
        <v>225</v>
      </c>
      <c r="G212" t="s">
        <v>40</v>
      </c>
      <c r="H212" t="s">
        <v>34</v>
      </c>
      <c r="I212">
        <v>5</v>
      </c>
      <c r="J212">
        <v>50741</v>
      </c>
      <c r="K212">
        <v>0.1</v>
      </c>
      <c r="L212" s="9">
        <v>228334.5</v>
      </c>
      <c r="M212" s="9">
        <v>169255.8</v>
      </c>
      <c r="N212" s="9">
        <v>59078.7</v>
      </c>
      <c r="O212">
        <f>MONTH(TblSales[[#This Row],[Date]])</f>
        <v>2</v>
      </c>
      <c r="P212" t="str">
        <f>TEXT(TblSales[[#This Row],[Date]],"mmm")</f>
        <v>Feb</v>
      </c>
      <c r="Q212">
        <f>YEAR(TblSales[[#This Row],[Date]])</f>
        <v>2025</v>
      </c>
    </row>
    <row r="213" spans="1:17">
      <c r="A213" t="s">
        <v>478</v>
      </c>
      <c r="B213" s="5" t="s">
        <v>80</v>
      </c>
      <c r="C213" t="s">
        <v>37</v>
      </c>
      <c r="D213" t="s">
        <v>60</v>
      </c>
      <c r="E213" t="s">
        <v>65</v>
      </c>
      <c r="F213" t="s">
        <v>66</v>
      </c>
      <c r="G213" t="s">
        <v>67</v>
      </c>
      <c r="H213" t="s">
        <v>34</v>
      </c>
      <c r="I213">
        <v>2</v>
      </c>
      <c r="J213">
        <v>35835</v>
      </c>
      <c r="K213">
        <v>0.04</v>
      </c>
      <c r="L213" s="9">
        <v>68803.199999999997</v>
      </c>
      <c r="M213" s="9">
        <v>54681.41</v>
      </c>
      <c r="N213" s="9">
        <v>14121.79</v>
      </c>
      <c r="O213">
        <f>MONTH(TblSales[[#This Row],[Date]])</f>
        <v>3</v>
      </c>
      <c r="P213" t="str">
        <f>TEXT(TblSales[[#This Row],[Date]],"mmm")</f>
        <v>Mar</v>
      </c>
      <c r="Q213">
        <f>YEAR(TblSales[[#This Row],[Date]])</f>
        <v>2025</v>
      </c>
    </row>
    <row r="214" spans="1:17">
      <c r="A214" t="s">
        <v>479</v>
      </c>
      <c r="B214" s="5" t="s">
        <v>289</v>
      </c>
      <c r="C214" t="s">
        <v>85</v>
      </c>
      <c r="D214" t="s">
        <v>17</v>
      </c>
      <c r="E214" t="s">
        <v>18</v>
      </c>
      <c r="F214" t="s">
        <v>298</v>
      </c>
      <c r="G214" t="s">
        <v>45</v>
      </c>
      <c r="H214" t="s">
        <v>56</v>
      </c>
      <c r="I214">
        <v>3</v>
      </c>
      <c r="J214">
        <v>40077</v>
      </c>
      <c r="K214">
        <v>0.14000000000000001</v>
      </c>
      <c r="L214" s="9">
        <v>103398.66</v>
      </c>
      <c r="M214" s="9">
        <v>73343.789999999994</v>
      </c>
      <c r="N214" s="9">
        <v>30054.87</v>
      </c>
      <c r="O214">
        <f>MONTH(TblSales[[#This Row],[Date]])</f>
        <v>5</v>
      </c>
      <c r="P214" t="str">
        <f>TEXT(TblSales[[#This Row],[Date]],"mmm")</f>
        <v>May</v>
      </c>
      <c r="Q214">
        <f>YEAR(TblSales[[#This Row],[Date]])</f>
        <v>2025</v>
      </c>
    </row>
    <row r="215" spans="1:17">
      <c r="A215" t="s">
        <v>480</v>
      </c>
      <c r="B215" s="5" t="s">
        <v>382</v>
      </c>
      <c r="C215" t="s">
        <v>32</v>
      </c>
      <c r="D215" t="s">
        <v>17</v>
      </c>
      <c r="E215" t="s">
        <v>18</v>
      </c>
      <c r="F215" t="s">
        <v>19</v>
      </c>
      <c r="G215" t="s">
        <v>67</v>
      </c>
      <c r="H215" t="s">
        <v>29</v>
      </c>
      <c r="I215">
        <v>4</v>
      </c>
      <c r="J215">
        <v>32272</v>
      </c>
      <c r="K215">
        <v>0.1</v>
      </c>
      <c r="L215" s="9">
        <v>116179.2</v>
      </c>
      <c r="M215" s="9">
        <v>81411.13</v>
      </c>
      <c r="N215" s="9">
        <v>34768.07</v>
      </c>
      <c r="O215">
        <f>MONTH(TblSales[[#This Row],[Date]])</f>
        <v>1</v>
      </c>
      <c r="P215" t="str">
        <f>TEXT(TblSales[[#This Row],[Date]],"mmm")</f>
        <v>Jan</v>
      </c>
      <c r="Q215">
        <f>YEAR(TblSales[[#This Row],[Date]])</f>
        <v>2025</v>
      </c>
    </row>
    <row r="216" spans="1:17">
      <c r="A216" t="s">
        <v>481</v>
      </c>
      <c r="B216" s="5" t="s">
        <v>404</v>
      </c>
      <c r="C216" t="s">
        <v>52</v>
      </c>
      <c r="D216" t="s">
        <v>53</v>
      </c>
      <c r="E216" t="s">
        <v>54</v>
      </c>
      <c r="F216" t="s">
        <v>116</v>
      </c>
      <c r="G216" t="s">
        <v>28</v>
      </c>
      <c r="H216" t="s">
        <v>21</v>
      </c>
      <c r="I216">
        <v>5</v>
      </c>
      <c r="J216">
        <v>56304</v>
      </c>
      <c r="K216">
        <v>0.11</v>
      </c>
      <c r="L216" s="9">
        <v>250552.8</v>
      </c>
      <c r="M216" s="9">
        <v>197259.76</v>
      </c>
      <c r="N216" s="9">
        <v>53293.04</v>
      </c>
      <c r="O216">
        <f>MONTH(TblSales[[#This Row],[Date]])</f>
        <v>3</v>
      </c>
      <c r="P216" t="str">
        <f>TEXT(TblSales[[#This Row],[Date]],"mmm")</f>
        <v>Mar</v>
      </c>
      <c r="Q216">
        <f>YEAR(TblSales[[#This Row],[Date]])</f>
        <v>2025</v>
      </c>
    </row>
    <row r="217" spans="1:17">
      <c r="A217" t="s">
        <v>482</v>
      </c>
      <c r="B217" s="5" t="s">
        <v>483</v>
      </c>
      <c r="C217" t="s">
        <v>32</v>
      </c>
      <c r="D217" t="s">
        <v>60</v>
      </c>
      <c r="E217" t="s">
        <v>106</v>
      </c>
      <c r="F217" t="s">
        <v>174</v>
      </c>
      <c r="G217" t="s">
        <v>108</v>
      </c>
      <c r="H217" t="s">
        <v>56</v>
      </c>
      <c r="I217">
        <v>5</v>
      </c>
      <c r="J217">
        <v>10011</v>
      </c>
      <c r="K217">
        <v>0.03</v>
      </c>
      <c r="L217" s="9">
        <v>48553.35</v>
      </c>
      <c r="M217" s="9">
        <v>40834.43</v>
      </c>
      <c r="N217" s="9">
        <v>7718.92</v>
      </c>
      <c r="O217">
        <f>MONTH(TblSales[[#This Row],[Date]])</f>
        <v>8</v>
      </c>
      <c r="P217" t="str">
        <f>TEXT(TblSales[[#This Row],[Date]],"mmm")</f>
        <v>Aug</v>
      </c>
      <c r="Q217">
        <f>YEAR(TblSales[[#This Row],[Date]])</f>
        <v>2025</v>
      </c>
    </row>
    <row r="218" spans="1:17">
      <c r="A218" t="s">
        <v>484</v>
      </c>
      <c r="B218" s="5" t="s">
        <v>169</v>
      </c>
      <c r="C218" t="s">
        <v>85</v>
      </c>
      <c r="D218" t="s">
        <v>25</v>
      </c>
      <c r="E218" t="s">
        <v>81</v>
      </c>
      <c r="F218" t="s">
        <v>93</v>
      </c>
      <c r="G218" t="s">
        <v>40</v>
      </c>
      <c r="H218" t="s">
        <v>21</v>
      </c>
      <c r="I218">
        <v>2</v>
      </c>
      <c r="J218">
        <v>1996</v>
      </c>
      <c r="K218">
        <v>0.14000000000000001</v>
      </c>
      <c r="L218" s="9">
        <v>3433.12</v>
      </c>
      <c r="M218" s="9">
        <v>2575.37</v>
      </c>
      <c r="N218" s="9">
        <v>857.75</v>
      </c>
      <c r="O218">
        <f>MONTH(TblSales[[#This Row],[Date]])</f>
        <v>5</v>
      </c>
      <c r="P218" t="str">
        <f>TEXT(TblSales[[#This Row],[Date]],"mmm")</f>
        <v>May</v>
      </c>
      <c r="Q218">
        <f>YEAR(TblSales[[#This Row],[Date]])</f>
        <v>2025</v>
      </c>
    </row>
    <row r="219" spans="1:17">
      <c r="A219" t="s">
        <v>485</v>
      </c>
      <c r="B219" s="5" t="s">
        <v>374</v>
      </c>
      <c r="C219" t="s">
        <v>37</v>
      </c>
      <c r="D219" t="s">
        <v>60</v>
      </c>
      <c r="E219" t="s">
        <v>106</v>
      </c>
      <c r="F219" t="s">
        <v>441</v>
      </c>
      <c r="G219" t="s">
        <v>20</v>
      </c>
      <c r="H219" t="s">
        <v>29</v>
      </c>
      <c r="I219">
        <v>3</v>
      </c>
      <c r="J219">
        <v>49376</v>
      </c>
      <c r="K219">
        <v>7.0000000000000007E-2</v>
      </c>
      <c r="L219" s="9">
        <v>137759.04000000001</v>
      </c>
      <c r="M219" s="9">
        <v>118865.67</v>
      </c>
      <c r="N219" s="9">
        <v>18893.37</v>
      </c>
      <c r="O219">
        <f>MONTH(TblSales[[#This Row],[Date]])</f>
        <v>8</v>
      </c>
      <c r="P219" t="str">
        <f>TEXT(TblSales[[#This Row],[Date]],"mmm")</f>
        <v>Aug</v>
      </c>
      <c r="Q219">
        <f>YEAR(TblSales[[#This Row],[Date]])</f>
        <v>2025</v>
      </c>
    </row>
    <row r="220" spans="1:17">
      <c r="A220" t="s">
        <v>486</v>
      </c>
      <c r="B220" s="5" t="s">
        <v>118</v>
      </c>
      <c r="C220" t="s">
        <v>16</v>
      </c>
      <c r="D220" t="s">
        <v>17</v>
      </c>
      <c r="E220" t="s">
        <v>18</v>
      </c>
      <c r="F220" t="s">
        <v>86</v>
      </c>
      <c r="G220" t="s">
        <v>119</v>
      </c>
      <c r="H220" t="s">
        <v>56</v>
      </c>
      <c r="I220">
        <v>4</v>
      </c>
      <c r="J220">
        <v>50456</v>
      </c>
      <c r="K220">
        <v>0.15</v>
      </c>
      <c r="L220" s="9">
        <v>171550.4</v>
      </c>
      <c r="M220" s="9">
        <v>144890.07999999999</v>
      </c>
      <c r="N220" s="9">
        <v>26660.32</v>
      </c>
      <c r="O220">
        <f>MONTH(TblSales[[#This Row],[Date]])</f>
        <v>10</v>
      </c>
      <c r="P220" t="str">
        <f>TEXT(TblSales[[#This Row],[Date]],"mmm")</f>
        <v>Oct</v>
      </c>
      <c r="Q220">
        <f>YEAR(TblSales[[#This Row],[Date]])</f>
        <v>2025</v>
      </c>
    </row>
    <row r="221" spans="1:17">
      <c r="A221" t="s">
        <v>487</v>
      </c>
      <c r="B221" s="5" t="s">
        <v>488</v>
      </c>
      <c r="C221" t="s">
        <v>59</v>
      </c>
      <c r="D221" t="s">
        <v>53</v>
      </c>
      <c r="E221" t="s">
        <v>140</v>
      </c>
      <c r="F221" t="s">
        <v>165</v>
      </c>
      <c r="G221" t="s">
        <v>28</v>
      </c>
      <c r="H221" t="s">
        <v>34</v>
      </c>
      <c r="I221">
        <v>3</v>
      </c>
      <c r="J221">
        <v>51757</v>
      </c>
      <c r="K221">
        <v>0.04</v>
      </c>
      <c r="L221" s="9">
        <v>149060.16</v>
      </c>
      <c r="M221" s="9">
        <v>123041.74</v>
      </c>
      <c r="N221" s="9">
        <v>26018.42</v>
      </c>
      <c r="O221">
        <f>MONTH(TblSales[[#This Row],[Date]])</f>
        <v>7</v>
      </c>
      <c r="P221" t="str">
        <f>TEXT(TblSales[[#This Row],[Date]],"mmm")</f>
        <v>Jul</v>
      </c>
      <c r="Q221">
        <f>YEAR(TblSales[[#This Row],[Date]])</f>
        <v>2025</v>
      </c>
    </row>
    <row r="222" spans="1:17">
      <c r="A222" t="s">
        <v>489</v>
      </c>
      <c r="B222" s="5" t="s">
        <v>490</v>
      </c>
      <c r="C222" t="s">
        <v>59</v>
      </c>
      <c r="D222" t="s">
        <v>25</v>
      </c>
      <c r="E222" t="s">
        <v>26</v>
      </c>
      <c r="F222" t="s">
        <v>27</v>
      </c>
      <c r="G222" t="s">
        <v>40</v>
      </c>
      <c r="H222" t="s">
        <v>21</v>
      </c>
      <c r="I222">
        <v>1</v>
      </c>
      <c r="J222">
        <v>14503</v>
      </c>
      <c r="K222">
        <v>0.06</v>
      </c>
      <c r="L222" s="9">
        <v>13632.82</v>
      </c>
      <c r="M222" s="9">
        <v>11745.95</v>
      </c>
      <c r="N222" s="9">
        <v>1886.87</v>
      </c>
      <c r="O222">
        <f>MONTH(TblSales[[#This Row],[Date]])</f>
        <v>5</v>
      </c>
      <c r="P222" t="str">
        <f>TEXT(TblSales[[#This Row],[Date]],"mmm")</f>
        <v>May</v>
      </c>
      <c r="Q222">
        <f>YEAR(TblSales[[#This Row],[Date]])</f>
        <v>2025</v>
      </c>
    </row>
    <row r="223" spans="1:17">
      <c r="A223" t="s">
        <v>491</v>
      </c>
      <c r="B223" s="5" t="s">
        <v>492</v>
      </c>
      <c r="C223" t="s">
        <v>24</v>
      </c>
      <c r="D223" t="s">
        <v>60</v>
      </c>
      <c r="E223" t="s">
        <v>102</v>
      </c>
      <c r="F223" t="s">
        <v>493</v>
      </c>
      <c r="G223" t="s">
        <v>28</v>
      </c>
      <c r="H223" t="s">
        <v>56</v>
      </c>
      <c r="I223">
        <v>3</v>
      </c>
      <c r="J223">
        <v>43768</v>
      </c>
      <c r="K223">
        <v>0.08</v>
      </c>
      <c r="L223" s="9">
        <v>120799.67999999999</v>
      </c>
      <c r="M223" s="9">
        <v>101202</v>
      </c>
      <c r="N223" s="9">
        <v>19597.68</v>
      </c>
      <c r="O223">
        <f>MONTH(TblSales[[#This Row],[Date]])</f>
        <v>1</v>
      </c>
      <c r="P223" t="str">
        <f>TEXT(TblSales[[#This Row],[Date]],"mmm")</f>
        <v>Jan</v>
      </c>
      <c r="Q223">
        <f>YEAR(TblSales[[#This Row],[Date]])</f>
        <v>2025</v>
      </c>
    </row>
    <row r="224" spans="1:17">
      <c r="A224" t="s">
        <v>494</v>
      </c>
      <c r="B224" s="5" t="s">
        <v>495</v>
      </c>
      <c r="C224" t="s">
        <v>16</v>
      </c>
      <c r="D224" t="s">
        <v>17</v>
      </c>
      <c r="E224" t="s">
        <v>48</v>
      </c>
      <c r="F224" t="s">
        <v>172</v>
      </c>
      <c r="G224" t="s">
        <v>45</v>
      </c>
      <c r="H224" t="s">
        <v>34</v>
      </c>
      <c r="I224">
        <v>3</v>
      </c>
      <c r="J224">
        <v>44350</v>
      </c>
      <c r="K224">
        <v>0.09</v>
      </c>
      <c r="L224" s="9">
        <v>121075.5</v>
      </c>
      <c r="M224" s="9">
        <v>102118.05</v>
      </c>
      <c r="N224" s="9">
        <v>18957.45</v>
      </c>
      <c r="O224">
        <f>MONTH(TblSales[[#This Row],[Date]])</f>
        <v>7</v>
      </c>
      <c r="P224" t="str">
        <f>TEXT(TblSales[[#This Row],[Date]],"mmm")</f>
        <v>Jul</v>
      </c>
      <c r="Q224">
        <f>YEAR(TblSales[[#This Row],[Date]])</f>
        <v>2025</v>
      </c>
    </row>
    <row r="225" spans="1:17">
      <c r="A225" t="s">
        <v>496</v>
      </c>
      <c r="B225" s="5" t="s">
        <v>193</v>
      </c>
      <c r="C225" t="s">
        <v>37</v>
      </c>
      <c r="D225" t="s">
        <v>60</v>
      </c>
      <c r="E225" t="s">
        <v>106</v>
      </c>
      <c r="F225" t="s">
        <v>441</v>
      </c>
      <c r="G225" t="s">
        <v>119</v>
      </c>
      <c r="H225" t="s">
        <v>21</v>
      </c>
      <c r="I225">
        <v>4</v>
      </c>
      <c r="J225">
        <v>9129</v>
      </c>
      <c r="K225">
        <v>7.0000000000000007E-2</v>
      </c>
      <c r="L225" s="9">
        <v>33959.879999999997</v>
      </c>
      <c r="M225" s="9">
        <v>27890.19</v>
      </c>
      <c r="N225" s="9">
        <v>6069.69</v>
      </c>
      <c r="O225">
        <f>MONTH(TblSales[[#This Row],[Date]])</f>
        <v>10</v>
      </c>
      <c r="P225" t="str">
        <f>TEXT(TblSales[[#This Row],[Date]],"mmm")</f>
        <v>Oct</v>
      </c>
      <c r="Q225">
        <f>YEAR(TblSales[[#This Row],[Date]])</f>
        <v>2025</v>
      </c>
    </row>
    <row r="226" spans="1:17">
      <c r="A226" t="s">
        <v>497</v>
      </c>
      <c r="B226" s="5" t="s">
        <v>384</v>
      </c>
      <c r="C226" t="s">
        <v>89</v>
      </c>
      <c r="D226" t="s">
        <v>60</v>
      </c>
      <c r="E226" t="s">
        <v>65</v>
      </c>
      <c r="F226" t="s">
        <v>237</v>
      </c>
      <c r="G226" t="s">
        <v>33</v>
      </c>
      <c r="H226" t="s">
        <v>56</v>
      </c>
      <c r="I226">
        <v>3</v>
      </c>
      <c r="J226">
        <v>45904</v>
      </c>
      <c r="K226">
        <v>0.12</v>
      </c>
      <c r="L226" s="9">
        <v>121186.56</v>
      </c>
      <c r="M226" s="9">
        <v>98496.12</v>
      </c>
      <c r="N226" s="9">
        <v>22690.44</v>
      </c>
      <c r="O226">
        <f>MONTH(TblSales[[#This Row],[Date]])</f>
        <v>3</v>
      </c>
      <c r="P226" t="str">
        <f>TEXT(TblSales[[#This Row],[Date]],"mmm")</f>
        <v>Mar</v>
      </c>
      <c r="Q226">
        <f>YEAR(TblSales[[#This Row],[Date]])</f>
        <v>2025</v>
      </c>
    </row>
    <row r="227" spans="1:17">
      <c r="A227" t="s">
        <v>498</v>
      </c>
      <c r="B227" s="5" t="s">
        <v>112</v>
      </c>
      <c r="C227" t="s">
        <v>24</v>
      </c>
      <c r="D227" t="s">
        <v>60</v>
      </c>
      <c r="E227" t="s">
        <v>61</v>
      </c>
      <c r="F227" t="s">
        <v>62</v>
      </c>
      <c r="G227" t="s">
        <v>119</v>
      </c>
      <c r="H227" t="s">
        <v>21</v>
      </c>
      <c r="I227">
        <v>3</v>
      </c>
      <c r="J227">
        <v>35168</v>
      </c>
      <c r="K227">
        <v>0.1</v>
      </c>
      <c r="L227" s="9">
        <v>94953.600000000006</v>
      </c>
      <c r="M227" s="9">
        <v>75396.14</v>
      </c>
      <c r="N227" s="9">
        <v>19557.46</v>
      </c>
      <c r="O227">
        <f>MONTH(TblSales[[#This Row],[Date]])</f>
        <v>5</v>
      </c>
      <c r="P227" t="str">
        <f>TEXT(TblSales[[#This Row],[Date]],"mmm")</f>
        <v>May</v>
      </c>
      <c r="Q227">
        <f>YEAR(TblSales[[#This Row],[Date]])</f>
        <v>2025</v>
      </c>
    </row>
    <row r="228" spans="1:17">
      <c r="A228" t="s">
        <v>499</v>
      </c>
      <c r="B228" s="5" t="s">
        <v>283</v>
      </c>
      <c r="C228" t="s">
        <v>113</v>
      </c>
      <c r="D228" t="s">
        <v>25</v>
      </c>
      <c r="E228" t="s">
        <v>81</v>
      </c>
      <c r="F228" t="s">
        <v>93</v>
      </c>
      <c r="G228" t="s">
        <v>33</v>
      </c>
      <c r="H228" t="s">
        <v>56</v>
      </c>
      <c r="I228">
        <v>5</v>
      </c>
      <c r="J228">
        <v>17473</v>
      </c>
      <c r="K228">
        <v>0.03</v>
      </c>
      <c r="L228" s="9">
        <v>84744.05</v>
      </c>
      <c r="M228" s="9">
        <v>68424.19</v>
      </c>
      <c r="N228" s="9">
        <v>16319.86</v>
      </c>
      <c r="O228">
        <f>MONTH(TblSales[[#This Row],[Date]])</f>
        <v>6</v>
      </c>
      <c r="P228" t="str">
        <f>TEXT(TblSales[[#This Row],[Date]],"mmm")</f>
        <v>Jun</v>
      </c>
      <c r="Q228">
        <f>YEAR(TblSales[[#This Row],[Date]])</f>
        <v>2025</v>
      </c>
    </row>
    <row r="229" spans="1:17">
      <c r="A229" t="s">
        <v>500</v>
      </c>
      <c r="B229" s="5" t="s">
        <v>281</v>
      </c>
      <c r="C229" t="s">
        <v>59</v>
      </c>
      <c r="D229" t="s">
        <v>60</v>
      </c>
      <c r="E229" t="s">
        <v>61</v>
      </c>
      <c r="F229" t="s">
        <v>395</v>
      </c>
      <c r="G229" t="s">
        <v>33</v>
      </c>
      <c r="H229" t="s">
        <v>34</v>
      </c>
      <c r="I229">
        <v>1</v>
      </c>
      <c r="J229">
        <v>19229</v>
      </c>
      <c r="K229">
        <v>0.05</v>
      </c>
      <c r="L229" s="9">
        <v>18267.55</v>
      </c>
      <c r="M229" s="9">
        <v>15496.59</v>
      </c>
      <c r="N229" s="9">
        <v>2770.96</v>
      </c>
      <c r="O229">
        <f>MONTH(TblSales[[#This Row],[Date]])</f>
        <v>9</v>
      </c>
      <c r="P229" t="str">
        <f>TEXT(TblSales[[#This Row],[Date]],"mmm")</f>
        <v>Sep</v>
      </c>
      <c r="Q229">
        <f>YEAR(TblSales[[#This Row],[Date]])</f>
        <v>2025</v>
      </c>
    </row>
    <row r="230" spans="1:17">
      <c r="A230" t="s">
        <v>501</v>
      </c>
      <c r="B230" s="5" t="s">
        <v>169</v>
      </c>
      <c r="C230" t="s">
        <v>37</v>
      </c>
      <c r="D230" t="s">
        <v>17</v>
      </c>
      <c r="E230" t="s">
        <v>18</v>
      </c>
      <c r="F230" t="s">
        <v>19</v>
      </c>
      <c r="G230" t="s">
        <v>40</v>
      </c>
      <c r="H230" t="s">
        <v>21</v>
      </c>
      <c r="I230">
        <v>3</v>
      </c>
      <c r="J230">
        <v>20459</v>
      </c>
      <c r="K230">
        <v>0.1</v>
      </c>
      <c r="L230" s="9">
        <v>55239.3</v>
      </c>
      <c r="M230" s="9">
        <v>39095.040000000001</v>
      </c>
      <c r="N230" s="9">
        <v>16144.26</v>
      </c>
      <c r="O230">
        <f>MONTH(TblSales[[#This Row],[Date]])</f>
        <v>5</v>
      </c>
      <c r="P230" t="str">
        <f>TEXT(TblSales[[#This Row],[Date]],"mmm")</f>
        <v>May</v>
      </c>
      <c r="Q230">
        <f>YEAR(TblSales[[#This Row],[Date]])</f>
        <v>2025</v>
      </c>
    </row>
    <row r="231" spans="1:17">
      <c r="A231" t="s">
        <v>502</v>
      </c>
      <c r="B231" s="5" t="s">
        <v>503</v>
      </c>
      <c r="C231" t="s">
        <v>89</v>
      </c>
      <c r="D231" t="s">
        <v>53</v>
      </c>
      <c r="E231" t="s">
        <v>127</v>
      </c>
      <c r="F231" t="s">
        <v>131</v>
      </c>
      <c r="G231" t="s">
        <v>20</v>
      </c>
      <c r="H231" t="s">
        <v>34</v>
      </c>
      <c r="I231">
        <v>3</v>
      </c>
      <c r="J231">
        <v>3300</v>
      </c>
      <c r="K231">
        <v>0.12</v>
      </c>
      <c r="L231" s="9">
        <v>8712</v>
      </c>
      <c r="M231" s="9">
        <v>6619.77</v>
      </c>
      <c r="N231" s="9">
        <v>2092.23</v>
      </c>
      <c r="O231">
        <f>MONTH(TblSales[[#This Row],[Date]])</f>
        <v>3</v>
      </c>
      <c r="P231" t="str">
        <f>TEXT(TblSales[[#This Row],[Date]],"mmm")</f>
        <v>Mar</v>
      </c>
      <c r="Q231">
        <f>YEAR(TblSales[[#This Row],[Date]])</f>
        <v>2025</v>
      </c>
    </row>
    <row r="232" spans="1:17">
      <c r="A232" t="s">
        <v>504</v>
      </c>
      <c r="B232" s="5" t="s">
        <v>213</v>
      </c>
      <c r="C232" t="s">
        <v>16</v>
      </c>
      <c r="D232" t="s">
        <v>17</v>
      </c>
      <c r="E232" t="s">
        <v>38</v>
      </c>
      <c r="F232" t="s">
        <v>114</v>
      </c>
      <c r="G232" t="s">
        <v>45</v>
      </c>
      <c r="H232" t="s">
        <v>29</v>
      </c>
      <c r="I232">
        <v>3</v>
      </c>
      <c r="J232">
        <v>22084</v>
      </c>
      <c r="K232">
        <v>0.06</v>
      </c>
      <c r="L232" s="9">
        <v>62276.88</v>
      </c>
      <c r="M232" s="9">
        <v>52689.51</v>
      </c>
      <c r="N232" s="9">
        <v>9587.3700000000008</v>
      </c>
      <c r="O232">
        <f>MONTH(TblSales[[#This Row],[Date]])</f>
        <v>6</v>
      </c>
      <c r="P232" t="str">
        <f>TEXT(TblSales[[#This Row],[Date]],"mmm")</f>
        <v>Jun</v>
      </c>
      <c r="Q232">
        <f>YEAR(TblSales[[#This Row],[Date]])</f>
        <v>2025</v>
      </c>
    </row>
    <row r="233" spans="1:17">
      <c r="A233" t="s">
        <v>505</v>
      </c>
      <c r="B233" s="5" t="s">
        <v>404</v>
      </c>
      <c r="C233" t="s">
        <v>32</v>
      </c>
      <c r="D233" t="s">
        <v>17</v>
      </c>
      <c r="E233" t="s">
        <v>18</v>
      </c>
      <c r="F233" t="s">
        <v>266</v>
      </c>
      <c r="G233" t="s">
        <v>45</v>
      </c>
      <c r="H233" t="s">
        <v>56</v>
      </c>
      <c r="I233">
        <v>2</v>
      </c>
      <c r="J233">
        <v>14179</v>
      </c>
      <c r="K233">
        <v>0.12</v>
      </c>
      <c r="L233" s="9">
        <v>24955.040000000001</v>
      </c>
      <c r="M233" s="9">
        <v>17875.73</v>
      </c>
      <c r="N233" s="9">
        <v>7079.31</v>
      </c>
      <c r="O233">
        <f>MONTH(TblSales[[#This Row],[Date]])</f>
        <v>3</v>
      </c>
      <c r="P233" t="str">
        <f>TEXT(TblSales[[#This Row],[Date]],"mmm")</f>
        <v>Mar</v>
      </c>
      <c r="Q233">
        <f>YEAR(TblSales[[#This Row],[Date]])</f>
        <v>2025</v>
      </c>
    </row>
    <row r="234" spans="1:17">
      <c r="A234" t="s">
        <v>506</v>
      </c>
      <c r="B234" s="5" t="s">
        <v>382</v>
      </c>
      <c r="C234" t="s">
        <v>24</v>
      </c>
      <c r="D234" t="s">
        <v>60</v>
      </c>
      <c r="E234" t="s">
        <v>61</v>
      </c>
      <c r="F234" t="s">
        <v>154</v>
      </c>
      <c r="G234" t="s">
        <v>45</v>
      </c>
      <c r="H234" t="s">
        <v>21</v>
      </c>
      <c r="I234">
        <v>4</v>
      </c>
      <c r="J234">
        <v>7956</v>
      </c>
      <c r="K234">
        <v>0.09</v>
      </c>
      <c r="L234" s="9">
        <v>28959.84</v>
      </c>
      <c r="M234" s="9">
        <v>25163.71</v>
      </c>
      <c r="N234" s="9">
        <v>3796.13</v>
      </c>
      <c r="O234">
        <f>MONTH(TblSales[[#This Row],[Date]])</f>
        <v>1</v>
      </c>
      <c r="P234" t="str">
        <f>TEXT(TblSales[[#This Row],[Date]],"mmm")</f>
        <v>Jan</v>
      </c>
      <c r="Q234">
        <f>YEAR(TblSales[[#This Row],[Date]])</f>
        <v>2025</v>
      </c>
    </row>
    <row r="235" spans="1:17">
      <c r="A235" t="s">
        <v>507</v>
      </c>
      <c r="B235" s="5" t="s">
        <v>508</v>
      </c>
      <c r="C235" t="s">
        <v>89</v>
      </c>
      <c r="D235" t="s">
        <v>53</v>
      </c>
      <c r="E235" t="s">
        <v>148</v>
      </c>
      <c r="F235" t="s">
        <v>149</v>
      </c>
      <c r="G235" t="s">
        <v>28</v>
      </c>
      <c r="H235" t="s">
        <v>56</v>
      </c>
      <c r="I235">
        <v>2</v>
      </c>
      <c r="J235">
        <v>26636</v>
      </c>
      <c r="K235">
        <v>0.14000000000000001</v>
      </c>
      <c r="L235" s="9">
        <v>45813.919999999998</v>
      </c>
      <c r="M235" s="9">
        <v>40005.230000000003</v>
      </c>
      <c r="N235" s="9">
        <v>5808.69</v>
      </c>
      <c r="O235">
        <f>MONTH(TblSales[[#This Row],[Date]])</f>
        <v>3</v>
      </c>
      <c r="P235" t="str">
        <f>TEXT(TblSales[[#This Row],[Date]],"mmm")</f>
        <v>Mar</v>
      </c>
      <c r="Q235">
        <f>YEAR(TblSales[[#This Row],[Date]])</f>
        <v>2025</v>
      </c>
    </row>
    <row r="236" spans="1:17">
      <c r="A236" t="s">
        <v>509</v>
      </c>
      <c r="B236" s="5" t="s">
        <v>36</v>
      </c>
      <c r="C236" t="s">
        <v>24</v>
      </c>
      <c r="D236" t="s">
        <v>60</v>
      </c>
      <c r="E236" t="s">
        <v>65</v>
      </c>
      <c r="F236" t="s">
        <v>134</v>
      </c>
      <c r="G236" t="s">
        <v>28</v>
      </c>
      <c r="H236" t="s">
        <v>21</v>
      </c>
      <c r="I236">
        <v>1</v>
      </c>
      <c r="J236">
        <v>51630</v>
      </c>
      <c r="K236">
        <v>7.0000000000000007E-2</v>
      </c>
      <c r="L236" s="9">
        <v>48015.9</v>
      </c>
      <c r="M236" s="9">
        <v>40618.07</v>
      </c>
      <c r="N236" s="9">
        <v>7397.83</v>
      </c>
      <c r="O236">
        <f>MONTH(TblSales[[#This Row],[Date]])</f>
        <v>2</v>
      </c>
      <c r="P236" t="str">
        <f>TEXT(TblSales[[#This Row],[Date]],"mmm")</f>
        <v>Feb</v>
      </c>
      <c r="Q236">
        <f>YEAR(TblSales[[#This Row],[Date]])</f>
        <v>2025</v>
      </c>
    </row>
    <row r="237" spans="1:17">
      <c r="A237" t="s">
        <v>510</v>
      </c>
      <c r="B237" s="5" t="s">
        <v>511</v>
      </c>
      <c r="C237" t="s">
        <v>16</v>
      </c>
      <c r="D237" t="s">
        <v>60</v>
      </c>
      <c r="E237" t="s">
        <v>106</v>
      </c>
      <c r="F237" t="s">
        <v>209</v>
      </c>
      <c r="G237" t="s">
        <v>20</v>
      </c>
      <c r="H237" t="s">
        <v>56</v>
      </c>
      <c r="I237">
        <v>1</v>
      </c>
      <c r="J237">
        <v>52907</v>
      </c>
      <c r="K237">
        <v>0.06</v>
      </c>
      <c r="L237" s="9">
        <v>49732.58</v>
      </c>
      <c r="M237" s="9">
        <v>42851.06</v>
      </c>
      <c r="N237" s="9">
        <v>6881.52</v>
      </c>
      <c r="O237">
        <f>MONTH(TblSales[[#This Row],[Date]])</f>
        <v>10</v>
      </c>
      <c r="P237" t="str">
        <f>TEXT(TblSales[[#This Row],[Date]],"mmm")</f>
        <v>Oct</v>
      </c>
      <c r="Q237">
        <f>YEAR(TblSales[[#This Row],[Date]])</f>
        <v>2025</v>
      </c>
    </row>
    <row r="238" spans="1:17">
      <c r="A238" t="s">
        <v>512</v>
      </c>
      <c r="B238" s="5" t="s">
        <v>354</v>
      </c>
      <c r="C238" t="s">
        <v>89</v>
      </c>
      <c r="D238" t="s">
        <v>60</v>
      </c>
      <c r="E238" t="s">
        <v>102</v>
      </c>
      <c r="F238" t="s">
        <v>493</v>
      </c>
      <c r="G238" t="s">
        <v>45</v>
      </c>
      <c r="H238" t="s">
        <v>21</v>
      </c>
      <c r="I238">
        <v>1</v>
      </c>
      <c r="J238">
        <v>41628</v>
      </c>
      <c r="K238">
        <v>0.02</v>
      </c>
      <c r="L238" s="9">
        <v>40795.440000000002</v>
      </c>
      <c r="M238" s="9">
        <v>31120.21</v>
      </c>
      <c r="N238" s="9">
        <v>9675.23</v>
      </c>
      <c r="O238">
        <f>MONTH(TblSales[[#This Row],[Date]])</f>
        <v>4</v>
      </c>
      <c r="P238" t="str">
        <f>TEXT(TblSales[[#This Row],[Date]],"mmm")</f>
        <v>Apr</v>
      </c>
      <c r="Q238">
        <f>YEAR(TblSales[[#This Row],[Date]])</f>
        <v>2025</v>
      </c>
    </row>
    <row r="239" spans="1:17">
      <c r="A239" t="s">
        <v>513</v>
      </c>
      <c r="B239" s="5" t="s">
        <v>379</v>
      </c>
      <c r="C239" t="s">
        <v>16</v>
      </c>
      <c r="D239" t="s">
        <v>60</v>
      </c>
      <c r="E239" t="s">
        <v>106</v>
      </c>
      <c r="F239" t="s">
        <v>441</v>
      </c>
      <c r="G239" t="s">
        <v>28</v>
      </c>
      <c r="H239" t="s">
        <v>34</v>
      </c>
      <c r="I239">
        <v>5</v>
      </c>
      <c r="J239">
        <v>25924</v>
      </c>
      <c r="K239">
        <v>0.12</v>
      </c>
      <c r="L239" s="9">
        <v>114065.60000000001</v>
      </c>
      <c r="M239" s="9">
        <v>99973.13</v>
      </c>
      <c r="N239" s="9">
        <v>14092.47</v>
      </c>
      <c r="O239">
        <f>MONTH(TblSales[[#This Row],[Date]])</f>
        <v>2</v>
      </c>
      <c r="P239" t="str">
        <f>TEXT(TblSales[[#This Row],[Date]],"mmm")</f>
        <v>Feb</v>
      </c>
      <c r="Q239">
        <f>YEAR(TblSales[[#This Row],[Date]])</f>
        <v>2025</v>
      </c>
    </row>
    <row r="240" spans="1:17">
      <c r="A240" t="s">
        <v>514</v>
      </c>
      <c r="B240" s="5" t="s">
        <v>515</v>
      </c>
      <c r="C240" t="s">
        <v>16</v>
      </c>
      <c r="D240" t="s">
        <v>53</v>
      </c>
      <c r="E240" t="s">
        <v>127</v>
      </c>
      <c r="F240" t="s">
        <v>128</v>
      </c>
      <c r="G240" t="s">
        <v>67</v>
      </c>
      <c r="H240" t="s">
        <v>34</v>
      </c>
      <c r="I240">
        <v>3</v>
      </c>
      <c r="J240">
        <v>56777</v>
      </c>
      <c r="K240">
        <v>7.0000000000000007E-2</v>
      </c>
      <c r="L240" s="9">
        <v>158407.82999999999</v>
      </c>
      <c r="M240" s="9">
        <v>121124.98</v>
      </c>
      <c r="N240" s="9">
        <v>37282.85</v>
      </c>
      <c r="O240">
        <f>MONTH(TblSales[[#This Row],[Date]])</f>
        <v>5</v>
      </c>
      <c r="P240" t="str">
        <f>TEXT(TblSales[[#This Row],[Date]],"mmm")</f>
        <v>May</v>
      </c>
      <c r="Q240">
        <f>YEAR(TblSales[[#This Row],[Date]])</f>
        <v>2025</v>
      </c>
    </row>
    <row r="241" spans="1:17">
      <c r="A241" t="s">
        <v>516</v>
      </c>
      <c r="B241" s="5" t="s">
        <v>121</v>
      </c>
      <c r="C241" t="s">
        <v>113</v>
      </c>
      <c r="D241" t="s">
        <v>53</v>
      </c>
      <c r="E241" t="s">
        <v>148</v>
      </c>
      <c r="F241" t="s">
        <v>422</v>
      </c>
      <c r="G241" t="s">
        <v>67</v>
      </c>
      <c r="H241" t="s">
        <v>21</v>
      </c>
      <c r="I241">
        <v>4</v>
      </c>
      <c r="J241">
        <v>52424</v>
      </c>
      <c r="K241">
        <v>0.05</v>
      </c>
      <c r="L241" s="9">
        <v>199211.2</v>
      </c>
      <c r="M241" s="9">
        <v>154471.99</v>
      </c>
      <c r="N241" s="9">
        <v>44739.21</v>
      </c>
      <c r="O241">
        <f>MONTH(TblSales[[#This Row],[Date]])</f>
        <v>9</v>
      </c>
      <c r="P241" t="str">
        <f>TEXT(TblSales[[#This Row],[Date]],"mmm")</f>
        <v>Sep</v>
      </c>
      <c r="Q241">
        <f>YEAR(TblSales[[#This Row],[Date]])</f>
        <v>2025</v>
      </c>
    </row>
    <row r="242" spans="1:17">
      <c r="A242" t="s">
        <v>517</v>
      </c>
      <c r="B242" s="5" t="s">
        <v>285</v>
      </c>
      <c r="C242" t="s">
        <v>16</v>
      </c>
      <c r="D242" t="s">
        <v>25</v>
      </c>
      <c r="E242" t="s">
        <v>81</v>
      </c>
      <c r="F242" t="s">
        <v>377</v>
      </c>
      <c r="G242" t="s">
        <v>20</v>
      </c>
      <c r="H242" t="s">
        <v>34</v>
      </c>
      <c r="I242">
        <v>1</v>
      </c>
      <c r="J242">
        <v>44788</v>
      </c>
      <c r="K242">
        <v>0.04</v>
      </c>
      <c r="L242" s="9">
        <v>42996.480000000003</v>
      </c>
      <c r="M242" s="9">
        <v>32329.39</v>
      </c>
      <c r="N242" s="9">
        <v>10667.09</v>
      </c>
      <c r="O242">
        <f>MONTH(TblSales[[#This Row],[Date]])</f>
        <v>6</v>
      </c>
      <c r="P242" t="str">
        <f>TEXT(TblSales[[#This Row],[Date]],"mmm")</f>
        <v>Jun</v>
      </c>
      <c r="Q242">
        <f>YEAR(TblSales[[#This Row],[Date]])</f>
        <v>2025</v>
      </c>
    </row>
    <row r="243" spans="1:17">
      <c r="A243" t="s">
        <v>518</v>
      </c>
      <c r="B243" s="5" t="s">
        <v>519</v>
      </c>
      <c r="C243" t="s">
        <v>32</v>
      </c>
      <c r="D243" t="s">
        <v>60</v>
      </c>
      <c r="E243" t="s">
        <v>102</v>
      </c>
      <c r="F243" t="s">
        <v>389</v>
      </c>
      <c r="G243" t="s">
        <v>45</v>
      </c>
      <c r="H243" t="s">
        <v>21</v>
      </c>
      <c r="I243">
        <v>5</v>
      </c>
      <c r="J243">
        <v>22338</v>
      </c>
      <c r="K243">
        <v>0.11</v>
      </c>
      <c r="L243" s="9">
        <v>99404.1</v>
      </c>
      <c r="M243" s="9">
        <v>72587.649999999994</v>
      </c>
      <c r="N243" s="9">
        <v>26816.45</v>
      </c>
      <c r="O243">
        <f>MONTH(TblSales[[#This Row],[Date]])</f>
        <v>5</v>
      </c>
      <c r="P243" t="str">
        <f>TEXT(TblSales[[#This Row],[Date]],"mmm")</f>
        <v>May</v>
      </c>
      <c r="Q243">
        <f>YEAR(TblSales[[#This Row],[Date]])</f>
        <v>2025</v>
      </c>
    </row>
    <row r="244" spans="1:17">
      <c r="A244" t="s">
        <v>520</v>
      </c>
      <c r="B244" s="5" t="s">
        <v>521</v>
      </c>
      <c r="C244" t="s">
        <v>37</v>
      </c>
      <c r="D244" t="s">
        <v>60</v>
      </c>
      <c r="E244" t="s">
        <v>65</v>
      </c>
      <c r="F244" t="s">
        <v>134</v>
      </c>
      <c r="G244" t="s">
        <v>20</v>
      </c>
      <c r="H244" t="s">
        <v>21</v>
      </c>
      <c r="I244">
        <v>4</v>
      </c>
      <c r="J244">
        <v>55115</v>
      </c>
      <c r="K244">
        <v>0.06</v>
      </c>
      <c r="L244" s="9">
        <v>207232.4</v>
      </c>
      <c r="M244" s="9">
        <v>154062.97</v>
      </c>
      <c r="N244" s="9">
        <v>53169.43</v>
      </c>
      <c r="O244">
        <f>MONTH(TblSales[[#This Row],[Date]])</f>
        <v>1</v>
      </c>
      <c r="P244" t="str">
        <f>TEXT(TblSales[[#This Row],[Date]],"mmm")</f>
        <v>Jan</v>
      </c>
      <c r="Q244">
        <f>YEAR(TblSales[[#This Row],[Date]])</f>
        <v>2025</v>
      </c>
    </row>
    <row r="245" spans="1:17">
      <c r="A245" t="s">
        <v>522</v>
      </c>
      <c r="B245" s="5" t="s">
        <v>523</v>
      </c>
      <c r="C245" t="s">
        <v>59</v>
      </c>
      <c r="D245" t="s">
        <v>17</v>
      </c>
      <c r="E245" t="s">
        <v>38</v>
      </c>
      <c r="F245" t="s">
        <v>205</v>
      </c>
      <c r="G245" t="s">
        <v>40</v>
      </c>
      <c r="H245" t="s">
        <v>34</v>
      </c>
      <c r="I245">
        <v>1</v>
      </c>
      <c r="J245">
        <v>21181</v>
      </c>
      <c r="K245">
        <v>0.09</v>
      </c>
      <c r="L245" s="9">
        <v>19274.71</v>
      </c>
      <c r="M245" s="9">
        <v>14595.7</v>
      </c>
      <c r="N245" s="9">
        <v>4679.01</v>
      </c>
      <c r="O245">
        <f>MONTH(TblSales[[#This Row],[Date]])</f>
        <v>8</v>
      </c>
      <c r="P245" t="str">
        <f>TEXT(TblSales[[#This Row],[Date]],"mmm")</f>
        <v>Aug</v>
      </c>
      <c r="Q245">
        <f>YEAR(TblSales[[#This Row],[Date]])</f>
        <v>2025</v>
      </c>
    </row>
    <row r="246" spans="1:17">
      <c r="A246" t="s">
        <v>524</v>
      </c>
      <c r="B246" s="5" t="s">
        <v>525</v>
      </c>
      <c r="C246" t="s">
        <v>32</v>
      </c>
      <c r="D246" t="s">
        <v>53</v>
      </c>
      <c r="E246" t="s">
        <v>127</v>
      </c>
      <c r="F246" t="s">
        <v>131</v>
      </c>
      <c r="G246" t="s">
        <v>28</v>
      </c>
      <c r="H246" t="s">
        <v>29</v>
      </c>
      <c r="I246">
        <v>2</v>
      </c>
      <c r="J246">
        <v>54799</v>
      </c>
      <c r="K246">
        <v>0.04</v>
      </c>
      <c r="L246" s="9">
        <v>105214.08</v>
      </c>
      <c r="M246" s="9">
        <v>81634.31</v>
      </c>
      <c r="N246" s="9">
        <v>23579.77</v>
      </c>
      <c r="O246">
        <f>MONTH(TblSales[[#This Row],[Date]])</f>
        <v>8</v>
      </c>
      <c r="P246" t="str">
        <f>TEXT(TblSales[[#This Row],[Date]],"mmm")</f>
        <v>Aug</v>
      </c>
      <c r="Q246">
        <f>YEAR(TblSales[[#This Row],[Date]])</f>
        <v>2025</v>
      </c>
    </row>
    <row r="247" spans="1:17">
      <c r="A247" t="s">
        <v>526</v>
      </c>
      <c r="B247" s="5" t="s">
        <v>527</v>
      </c>
      <c r="C247" t="s">
        <v>37</v>
      </c>
      <c r="D247" t="s">
        <v>17</v>
      </c>
      <c r="E247" t="s">
        <v>74</v>
      </c>
      <c r="F247" t="s">
        <v>368</v>
      </c>
      <c r="G247" t="s">
        <v>119</v>
      </c>
      <c r="H247" t="s">
        <v>34</v>
      </c>
      <c r="I247">
        <v>1</v>
      </c>
      <c r="J247">
        <v>50732</v>
      </c>
      <c r="K247">
        <v>7.0000000000000007E-2</v>
      </c>
      <c r="L247" s="9">
        <v>47180.76</v>
      </c>
      <c r="M247" s="9">
        <v>38061.279999999999</v>
      </c>
      <c r="N247" s="9">
        <v>9119.48</v>
      </c>
      <c r="O247">
        <f>MONTH(TblSales[[#This Row],[Date]])</f>
        <v>3</v>
      </c>
      <c r="P247" t="str">
        <f>TEXT(TblSales[[#This Row],[Date]],"mmm")</f>
        <v>Mar</v>
      </c>
      <c r="Q247">
        <f>YEAR(TblSales[[#This Row],[Date]])</f>
        <v>2025</v>
      </c>
    </row>
    <row r="248" spans="1:17">
      <c r="A248" t="s">
        <v>528</v>
      </c>
      <c r="B248" s="5" t="s">
        <v>219</v>
      </c>
      <c r="C248" t="s">
        <v>52</v>
      </c>
      <c r="D248" t="s">
        <v>17</v>
      </c>
      <c r="E248" t="s">
        <v>74</v>
      </c>
      <c r="F248" t="s">
        <v>368</v>
      </c>
      <c r="G248" t="s">
        <v>45</v>
      </c>
      <c r="H248" t="s">
        <v>34</v>
      </c>
      <c r="I248">
        <v>5</v>
      </c>
      <c r="J248">
        <v>20660</v>
      </c>
      <c r="K248">
        <v>0.06</v>
      </c>
      <c r="L248" s="9">
        <v>97102</v>
      </c>
      <c r="M248" s="9">
        <v>76154.44</v>
      </c>
      <c r="N248" s="9">
        <v>20947.560000000001</v>
      </c>
      <c r="O248">
        <f>MONTH(TblSales[[#This Row],[Date]])</f>
        <v>8</v>
      </c>
      <c r="P248" t="str">
        <f>TEXT(TblSales[[#This Row],[Date]],"mmm")</f>
        <v>Aug</v>
      </c>
      <c r="Q248">
        <f>YEAR(TblSales[[#This Row],[Date]])</f>
        <v>2025</v>
      </c>
    </row>
    <row r="249" spans="1:17">
      <c r="A249" t="s">
        <v>529</v>
      </c>
      <c r="B249" s="5" t="s">
        <v>447</v>
      </c>
      <c r="C249" t="s">
        <v>52</v>
      </c>
      <c r="D249" t="s">
        <v>25</v>
      </c>
      <c r="E249" t="s">
        <v>81</v>
      </c>
      <c r="F249" t="s">
        <v>377</v>
      </c>
      <c r="G249" t="s">
        <v>45</v>
      </c>
      <c r="H249" t="s">
        <v>56</v>
      </c>
      <c r="I249">
        <v>4</v>
      </c>
      <c r="J249">
        <v>59980</v>
      </c>
      <c r="K249">
        <v>0.02</v>
      </c>
      <c r="L249" s="9">
        <v>235121.6</v>
      </c>
      <c r="M249" s="9">
        <v>172668.98</v>
      </c>
      <c r="N249" s="9">
        <v>62452.62</v>
      </c>
      <c r="O249">
        <f>MONTH(TblSales[[#This Row],[Date]])</f>
        <v>6</v>
      </c>
      <c r="P249" t="str">
        <f>TEXT(TblSales[[#This Row],[Date]],"mmm")</f>
        <v>Jun</v>
      </c>
      <c r="Q249">
        <f>YEAR(TblSales[[#This Row],[Date]])</f>
        <v>2025</v>
      </c>
    </row>
    <row r="250" spans="1:17">
      <c r="A250" t="s">
        <v>530</v>
      </c>
      <c r="B250" s="5" t="s">
        <v>531</v>
      </c>
      <c r="C250" t="s">
        <v>98</v>
      </c>
      <c r="D250" t="s">
        <v>17</v>
      </c>
      <c r="E250" t="s">
        <v>18</v>
      </c>
      <c r="F250" t="s">
        <v>298</v>
      </c>
      <c r="G250" t="s">
        <v>108</v>
      </c>
      <c r="H250" t="s">
        <v>34</v>
      </c>
      <c r="I250">
        <v>2</v>
      </c>
      <c r="J250">
        <v>1546</v>
      </c>
      <c r="K250">
        <v>0.05</v>
      </c>
      <c r="L250" s="9">
        <v>2937.4</v>
      </c>
      <c r="M250" s="9">
        <v>2387.0100000000002</v>
      </c>
      <c r="N250" s="9">
        <v>550.39</v>
      </c>
      <c r="O250">
        <f>MONTH(TblSales[[#This Row],[Date]])</f>
        <v>10</v>
      </c>
      <c r="P250" t="str">
        <f>TEXT(TblSales[[#This Row],[Date]],"mmm")</f>
        <v>Oct</v>
      </c>
      <c r="Q250">
        <f>YEAR(TblSales[[#This Row],[Date]])</f>
        <v>2025</v>
      </c>
    </row>
    <row r="251" spans="1:17">
      <c r="A251" t="s">
        <v>532</v>
      </c>
      <c r="B251" s="5" t="s">
        <v>95</v>
      </c>
      <c r="C251" t="s">
        <v>89</v>
      </c>
      <c r="D251" t="s">
        <v>53</v>
      </c>
      <c r="E251" t="s">
        <v>127</v>
      </c>
      <c r="F251" t="s">
        <v>128</v>
      </c>
      <c r="G251" t="s">
        <v>40</v>
      </c>
      <c r="H251" t="s">
        <v>29</v>
      </c>
      <c r="I251">
        <v>1</v>
      </c>
      <c r="J251">
        <v>56207</v>
      </c>
      <c r="K251">
        <v>0.03</v>
      </c>
      <c r="L251" s="9">
        <v>54520.79</v>
      </c>
      <c r="M251" s="9">
        <v>46884.35</v>
      </c>
      <c r="N251" s="9">
        <v>7636.44</v>
      </c>
      <c r="O251">
        <f>MONTH(TblSales[[#This Row],[Date]])</f>
        <v>10</v>
      </c>
      <c r="P251" t="str">
        <f>TEXT(TblSales[[#This Row],[Date]],"mmm")</f>
        <v>Oct</v>
      </c>
      <c r="Q251">
        <f>YEAR(TblSales[[#This Row],[Date]])</f>
        <v>2025</v>
      </c>
    </row>
    <row r="252" spans="1:17">
      <c r="A252" t="s">
        <v>533</v>
      </c>
      <c r="B252" s="5" t="s">
        <v>169</v>
      </c>
      <c r="C252" t="s">
        <v>59</v>
      </c>
      <c r="D252" t="s">
        <v>53</v>
      </c>
      <c r="E252" t="s">
        <v>148</v>
      </c>
      <c r="F252" t="s">
        <v>534</v>
      </c>
      <c r="G252" t="s">
        <v>28</v>
      </c>
      <c r="H252" t="s">
        <v>34</v>
      </c>
      <c r="I252">
        <v>5</v>
      </c>
      <c r="J252">
        <v>54647</v>
      </c>
      <c r="K252">
        <v>0.1</v>
      </c>
      <c r="L252" s="9">
        <v>245911.5</v>
      </c>
      <c r="M252" s="9">
        <v>184981.37</v>
      </c>
      <c r="N252" s="9">
        <v>60930.13</v>
      </c>
      <c r="O252">
        <f>MONTH(TblSales[[#This Row],[Date]])</f>
        <v>5</v>
      </c>
      <c r="P252" t="str">
        <f>TEXT(TblSales[[#This Row],[Date]],"mmm")</f>
        <v>May</v>
      </c>
      <c r="Q252">
        <f>YEAR(TblSales[[#This Row],[Date]])</f>
        <v>2025</v>
      </c>
    </row>
    <row r="253" spans="1:17">
      <c r="A253" t="s">
        <v>535</v>
      </c>
      <c r="B253" s="5" t="s">
        <v>536</v>
      </c>
      <c r="C253" t="s">
        <v>59</v>
      </c>
      <c r="D253" t="s">
        <v>60</v>
      </c>
      <c r="E253" t="s">
        <v>65</v>
      </c>
      <c r="F253" t="s">
        <v>66</v>
      </c>
      <c r="G253" t="s">
        <v>28</v>
      </c>
      <c r="H253" t="s">
        <v>21</v>
      </c>
      <c r="I253">
        <v>1</v>
      </c>
      <c r="J253">
        <v>18819</v>
      </c>
      <c r="K253">
        <v>0.13</v>
      </c>
      <c r="L253" s="9">
        <v>16372.53</v>
      </c>
      <c r="M253" s="9">
        <v>11740.16</v>
      </c>
      <c r="N253" s="9">
        <v>4632.37</v>
      </c>
      <c r="O253">
        <f>MONTH(TblSales[[#This Row],[Date]])</f>
        <v>4</v>
      </c>
      <c r="P253" t="str">
        <f>TEXT(TblSales[[#This Row],[Date]],"mmm")</f>
        <v>Apr</v>
      </c>
      <c r="Q253">
        <f>YEAR(TblSales[[#This Row],[Date]])</f>
        <v>2025</v>
      </c>
    </row>
    <row r="254" spans="1:17">
      <c r="A254" t="s">
        <v>537</v>
      </c>
      <c r="B254" s="5" t="s">
        <v>136</v>
      </c>
      <c r="C254" t="s">
        <v>98</v>
      </c>
      <c r="D254" t="s">
        <v>53</v>
      </c>
      <c r="E254" t="s">
        <v>127</v>
      </c>
      <c r="F254" t="s">
        <v>128</v>
      </c>
      <c r="G254" t="s">
        <v>119</v>
      </c>
      <c r="H254" t="s">
        <v>34</v>
      </c>
      <c r="I254">
        <v>3</v>
      </c>
      <c r="J254">
        <v>44404</v>
      </c>
      <c r="K254">
        <v>0.12</v>
      </c>
      <c r="L254" s="9">
        <v>117226.56</v>
      </c>
      <c r="M254" s="9">
        <v>100729.1</v>
      </c>
      <c r="N254" s="9">
        <v>16497.46</v>
      </c>
      <c r="O254">
        <f>MONTH(TblSales[[#This Row],[Date]])</f>
        <v>10</v>
      </c>
      <c r="P254" t="str">
        <f>TEXT(TblSales[[#This Row],[Date]],"mmm")</f>
        <v>Oct</v>
      </c>
      <c r="Q254">
        <f>YEAR(TblSales[[#This Row],[Date]])</f>
        <v>2025</v>
      </c>
    </row>
    <row r="255" spans="1:17">
      <c r="A255" t="s">
        <v>538</v>
      </c>
      <c r="B255" s="5" t="s">
        <v>110</v>
      </c>
      <c r="C255" t="s">
        <v>24</v>
      </c>
      <c r="D255" t="s">
        <v>17</v>
      </c>
      <c r="E255" t="s">
        <v>74</v>
      </c>
      <c r="F255" t="s">
        <v>539</v>
      </c>
      <c r="G255" t="s">
        <v>108</v>
      </c>
      <c r="H255" t="s">
        <v>34</v>
      </c>
      <c r="I255">
        <v>5</v>
      </c>
      <c r="J255">
        <v>53854</v>
      </c>
      <c r="K255">
        <v>0.14000000000000001</v>
      </c>
      <c r="L255" s="9">
        <v>231572.2</v>
      </c>
      <c r="M255" s="9">
        <v>187705.02</v>
      </c>
      <c r="N255" s="9">
        <v>43867.18</v>
      </c>
      <c r="O255">
        <f>MONTH(TblSales[[#This Row],[Date]])</f>
        <v>10</v>
      </c>
      <c r="P255" t="str">
        <f>TEXT(TblSales[[#This Row],[Date]],"mmm")</f>
        <v>Oct</v>
      </c>
      <c r="Q255">
        <f>YEAR(TblSales[[#This Row],[Date]])</f>
        <v>2025</v>
      </c>
    </row>
    <row r="256" spans="1:17">
      <c r="A256" t="s">
        <v>540</v>
      </c>
      <c r="B256" s="5" t="s">
        <v>330</v>
      </c>
      <c r="C256" t="s">
        <v>32</v>
      </c>
      <c r="D256" t="s">
        <v>53</v>
      </c>
      <c r="E256" t="s">
        <v>54</v>
      </c>
      <c r="F256" t="s">
        <v>78</v>
      </c>
      <c r="G256" t="s">
        <v>20</v>
      </c>
      <c r="H256" t="s">
        <v>29</v>
      </c>
      <c r="I256">
        <v>4</v>
      </c>
      <c r="J256">
        <v>18357</v>
      </c>
      <c r="K256">
        <v>0.12</v>
      </c>
      <c r="L256" s="9">
        <v>64616.639999999999</v>
      </c>
      <c r="M256" s="9">
        <v>53632.07</v>
      </c>
      <c r="N256" s="9">
        <v>10984.57</v>
      </c>
      <c r="O256">
        <f>MONTH(TblSales[[#This Row],[Date]])</f>
        <v>7</v>
      </c>
      <c r="P256" t="str">
        <f>TEXT(TblSales[[#This Row],[Date]],"mmm")</f>
        <v>Jul</v>
      </c>
      <c r="Q256">
        <f>YEAR(TblSales[[#This Row],[Date]])</f>
        <v>2025</v>
      </c>
    </row>
    <row r="257" spans="1:17">
      <c r="A257" t="s">
        <v>541</v>
      </c>
      <c r="B257" s="5" t="s">
        <v>542</v>
      </c>
      <c r="C257" t="s">
        <v>59</v>
      </c>
      <c r="D257" t="s">
        <v>25</v>
      </c>
      <c r="E257" t="s">
        <v>43</v>
      </c>
      <c r="F257" t="s">
        <v>220</v>
      </c>
      <c r="G257" t="s">
        <v>40</v>
      </c>
      <c r="H257" t="s">
        <v>21</v>
      </c>
      <c r="I257">
        <v>2</v>
      </c>
      <c r="J257">
        <v>51633</v>
      </c>
      <c r="K257">
        <v>0.09</v>
      </c>
      <c r="L257" s="9">
        <v>93972.06</v>
      </c>
      <c r="M257" s="9">
        <v>79446.399999999994</v>
      </c>
      <c r="N257" s="9">
        <v>14525.66</v>
      </c>
      <c r="O257">
        <f>MONTH(TblSales[[#This Row],[Date]])</f>
        <v>8</v>
      </c>
      <c r="P257" t="str">
        <f>TEXT(TblSales[[#This Row],[Date]],"mmm")</f>
        <v>Aug</v>
      </c>
      <c r="Q257">
        <f>YEAR(TblSales[[#This Row],[Date]])</f>
        <v>2025</v>
      </c>
    </row>
    <row r="258" spans="1:17">
      <c r="A258" t="s">
        <v>543</v>
      </c>
      <c r="B258" s="5" t="s">
        <v>544</v>
      </c>
      <c r="C258" t="s">
        <v>24</v>
      </c>
      <c r="D258" t="s">
        <v>53</v>
      </c>
      <c r="E258" t="s">
        <v>140</v>
      </c>
      <c r="F258" t="s">
        <v>141</v>
      </c>
      <c r="G258" t="s">
        <v>33</v>
      </c>
      <c r="H258" t="s">
        <v>29</v>
      </c>
      <c r="I258">
        <v>2</v>
      </c>
      <c r="J258">
        <v>57085</v>
      </c>
      <c r="K258">
        <v>0.13</v>
      </c>
      <c r="L258" s="9">
        <v>99327.9</v>
      </c>
      <c r="M258" s="9">
        <v>71715.17</v>
      </c>
      <c r="N258" s="9">
        <v>27612.73</v>
      </c>
      <c r="O258">
        <f>MONTH(TblSales[[#This Row],[Date]])</f>
        <v>4</v>
      </c>
      <c r="P258" t="str">
        <f>TEXT(TblSales[[#This Row],[Date]],"mmm")</f>
        <v>Apr</v>
      </c>
      <c r="Q258">
        <f>YEAR(TblSales[[#This Row],[Date]])</f>
        <v>2025</v>
      </c>
    </row>
    <row r="259" spans="1:17">
      <c r="A259" t="s">
        <v>545</v>
      </c>
      <c r="B259" s="5" t="s">
        <v>546</v>
      </c>
      <c r="C259" t="s">
        <v>59</v>
      </c>
      <c r="D259" t="s">
        <v>17</v>
      </c>
      <c r="E259" t="s">
        <v>38</v>
      </c>
      <c r="F259" t="s">
        <v>205</v>
      </c>
      <c r="G259" t="s">
        <v>119</v>
      </c>
      <c r="H259" t="s">
        <v>56</v>
      </c>
      <c r="I259">
        <v>3</v>
      </c>
      <c r="J259">
        <v>58625</v>
      </c>
      <c r="K259">
        <v>0.03</v>
      </c>
      <c r="L259" s="9">
        <v>170598.75</v>
      </c>
      <c r="M259" s="9">
        <v>152489.62</v>
      </c>
      <c r="N259" s="9">
        <v>18109.13</v>
      </c>
      <c r="O259">
        <f>MONTH(TblSales[[#This Row],[Date]])</f>
        <v>7</v>
      </c>
      <c r="P259" t="str">
        <f>TEXT(TblSales[[#This Row],[Date]],"mmm")</f>
        <v>Jul</v>
      </c>
      <c r="Q259">
        <f>YEAR(TblSales[[#This Row],[Date]])</f>
        <v>2025</v>
      </c>
    </row>
    <row r="260" spans="1:17">
      <c r="A260" t="s">
        <v>547</v>
      </c>
      <c r="B260" s="5" t="s">
        <v>527</v>
      </c>
      <c r="C260" t="s">
        <v>113</v>
      </c>
      <c r="D260" t="s">
        <v>17</v>
      </c>
      <c r="E260" t="s">
        <v>18</v>
      </c>
      <c r="F260" t="s">
        <v>86</v>
      </c>
      <c r="G260" t="s">
        <v>33</v>
      </c>
      <c r="H260" t="s">
        <v>21</v>
      </c>
      <c r="I260">
        <v>4</v>
      </c>
      <c r="J260">
        <v>5110</v>
      </c>
      <c r="K260">
        <v>7.0000000000000007E-2</v>
      </c>
      <c r="L260" s="9">
        <v>19009.2</v>
      </c>
      <c r="M260" s="9">
        <v>16210.58</v>
      </c>
      <c r="N260" s="9">
        <v>2798.62</v>
      </c>
      <c r="O260">
        <f>MONTH(TblSales[[#This Row],[Date]])</f>
        <v>3</v>
      </c>
      <c r="P260" t="str">
        <f>TEXT(TblSales[[#This Row],[Date]],"mmm")</f>
        <v>Mar</v>
      </c>
      <c r="Q260">
        <f>YEAR(TblSales[[#This Row],[Date]])</f>
        <v>2025</v>
      </c>
    </row>
    <row r="261" spans="1:17">
      <c r="A261" t="s">
        <v>548</v>
      </c>
      <c r="B261" s="5" t="s">
        <v>549</v>
      </c>
      <c r="C261" t="s">
        <v>59</v>
      </c>
      <c r="D261" t="s">
        <v>53</v>
      </c>
      <c r="E261" t="s">
        <v>127</v>
      </c>
      <c r="F261" t="s">
        <v>190</v>
      </c>
      <c r="G261" t="s">
        <v>33</v>
      </c>
      <c r="H261" t="s">
        <v>56</v>
      </c>
      <c r="I261">
        <v>4</v>
      </c>
      <c r="J261">
        <v>12232</v>
      </c>
      <c r="K261">
        <v>0.1</v>
      </c>
      <c r="L261" s="9">
        <v>44035.199999999997</v>
      </c>
      <c r="M261" s="9">
        <v>36428.879999999997</v>
      </c>
      <c r="N261" s="9">
        <v>7606.32</v>
      </c>
      <c r="O261">
        <f>MONTH(TblSales[[#This Row],[Date]])</f>
        <v>7</v>
      </c>
      <c r="P261" t="str">
        <f>TEXT(TblSales[[#This Row],[Date]],"mmm")</f>
        <v>Jul</v>
      </c>
      <c r="Q261">
        <f>YEAR(TblSales[[#This Row],[Date]])</f>
        <v>2025</v>
      </c>
    </row>
    <row r="262" spans="1:17">
      <c r="A262" t="s">
        <v>550</v>
      </c>
      <c r="B262" s="5" t="s">
        <v>345</v>
      </c>
      <c r="C262" t="s">
        <v>113</v>
      </c>
      <c r="D262" t="s">
        <v>17</v>
      </c>
      <c r="E262" t="s">
        <v>48</v>
      </c>
      <c r="F262" t="s">
        <v>162</v>
      </c>
      <c r="G262" t="s">
        <v>28</v>
      </c>
      <c r="H262" t="s">
        <v>29</v>
      </c>
      <c r="I262">
        <v>1</v>
      </c>
      <c r="J262">
        <v>40837</v>
      </c>
      <c r="K262">
        <v>7.0000000000000007E-2</v>
      </c>
      <c r="L262" s="9">
        <v>37978.410000000003</v>
      </c>
      <c r="M262" s="9">
        <v>33788.07</v>
      </c>
      <c r="N262" s="9">
        <v>4190.34</v>
      </c>
      <c r="O262">
        <f>MONTH(TblSales[[#This Row],[Date]])</f>
        <v>9</v>
      </c>
      <c r="P262" t="str">
        <f>TEXT(TblSales[[#This Row],[Date]],"mmm")</f>
        <v>Sep</v>
      </c>
      <c r="Q262">
        <f>YEAR(TblSales[[#This Row],[Date]])</f>
        <v>2025</v>
      </c>
    </row>
    <row r="263" spans="1:17">
      <c r="A263" t="s">
        <v>551</v>
      </c>
      <c r="B263" s="5" t="s">
        <v>169</v>
      </c>
      <c r="C263" t="s">
        <v>32</v>
      </c>
      <c r="D263" t="s">
        <v>25</v>
      </c>
      <c r="E263" t="s">
        <v>26</v>
      </c>
      <c r="F263" t="s">
        <v>27</v>
      </c>
      <c r="G263" t="s">
        <v>40</v>
      </c>
      <c r="H263" t="s">
        <v>34</v>
      </c>
      <c r="I263">
        <v>5</v>
      </c>
      <c r="J263">
        <v>17127</v>
      </c>
      <c r="K263">
        <v>0.02</v>
      </c>
      <c r="L263" s="9">
        <v>83922.3</v>
      </c>
      <c r="M263" s="9">
        <v>70587.490000000005</v>
      </c>
      <c r="N263" s="9">
        <v>13334.81</v>
      </c>
      <c r="O263">
        <f>MONTH(TblSales[[#This Row],[Date]])</f>
        <v>5</v>
      </c>
      <c r="P263" t="str">
        <f>TEXT(TblSales[[#This Row],[Date]],"mmm")</f>
        <v>May</v>
      </c>
      <c r="Q263">
        <f>YEAR(TblSales[[#This Row],[Date]])</f>
        <v>2025</v>
      </c>
    </row>
    <row r="264" spans="1:17">
      <c r="A264" t="s">
        <v>552</v>
      </c>
      <c r="B264" s="5" t="s">
        <v>77</v>
      </c>
      <c r="C264" t="s">
        <v>37</v>
      </c>
      <c r="D264" t="s">
        <v>17</v>
      </c>
      <c r="E264" t="s">
        <v>74</v>
      </c>
      <c r="F264" t="s">
        <v>368</v>
      </c>
      <c r="G264" t="s">
        <v>45</v>
      </c>
      <c r="H264" t="s">
        <v>29</v>
      </c>
      <c r="I264">
        <v>3</v>
      </c>
      <c r="J264">
        <v>13219</v>
      </c>
      <c r="K264">
        <v>0.06</v>
      </c>
      <c r="L264" s="9">
        <v>37277.58</v>
      </c>
      <c r="M264" s="9">
        <v>28730.11</v>
      </c>
      <c r="N264" s="9">
        <v>8547.4699999999993</v>
      </c>
      <c r="O264">
        <f>MONTH(TblSales[[#This Row],[Date]])</f>
        <v>3</v>
      </c>
      <c r="P264" t="str">
        <f>TEXT(TblSales[[#This Row],[Date]],"mmm")</f>
        <v>Mar</v>
      </c>
      <c r="Q264">
        <f>YEAR(TblSales[[#This Row],[Date]])</f>
        <v>2025</v>
      </c>
    </row>
    <row r="265" spans="1:17">
      <c r="A265" t="s">
        <v>553</v>
      </c>
      <c r="B265" s="5" t="s">
        <v>554</v>
      </c>
      <c r="C265" t="s">
        <v>37</v>
      </c>
      <c r="D265" t="s">
        <v>60</v>
      </c>
      <c r="E265" t="s">
        <v>106</v>
      </c>
      <c r="F265" t="s">
        <v>174</v>
      </c>
      <c r="G265" t="s">
        <v>119</v>
      </c>
      <c r="H265" t="s">
        <v>29</v>
      </c>
      <c r="I265">
        <v>2</v>
      </c>
      <c r="J265">
        <v>18972</v>
      </c>
      <c r="K265">
        <v>0.11</v>
      </c>
      <c r="L265" s="9">
        <v>33770.160000000003</v>
      </c>
      <c r="M265" s="9">
        <v>28079.9</v>
      </c>
      <c r="N265" s="9">
        <v>5690.26</v>
      </c>
      <c r="O265">
        <f>MONTH(TblSales[[#This Row],[Date]])</f>
        <v>2</v>
      </c>
      <c r="P265" t="str">
        <f>TEXT(TblSales[[#This Row],[Date]],"mmm")</f>
        <v>Feb</v>
      </c>
      <c r="Q265">
        <f>YEAR(TblSales[[#This Row],[Date]])</f>
        <v>2025</v>
      </c>
    </row>
    <row r="266" spans="1:17">
      <c r="A266" t="s">
        <v>555</v>
      </c>
      <c r="B266" s="5" t="s">
        <v>300</v>
      </c>
      <c r="C266" t="s">
        <v>24</v>
      </c>
      <c r="D266" t="s">
        <v>25</v>
      </c>
      <c r="E266" t="s">
        <v>81</v>
      </c>
      <c r="F266" t="s">
        <v>348</v>
      </c>
      <c r="G266" t="s">
        <v>108</v>
      </c>
      <c r="H266" t="s">
        <v>29</v>
      </c>
      <c r="I266">
        <v>2</v>
      </c>
      <c r="J266">
        <v>31188</v>
      </c>
      <c r="K266">
        <v>0.06</v>
      </c>
      <c r="L266" s="9">
        <v>58633.440000000002</v>
      </c>
      <c r="M266" s="9">
        <v>49942.53</v>
      </c>
      <c r="N266" s="9">
        <v>8690.91</v>
      </c>
      <c r="O266">
        <f>MONTH(TblSales[[#This Row],[Date]])</f>
        <v>5</v>
      </c>
      <c r="P266" t="str">
        <f>TEXT(TblSales[[#This Row],[Date]],"mmm")</f>
        <v>May</v>
      </c>
      <c r="Q266">
        <f>YEAR(TblSales[[#This Row],[Date]])</f>
        <v>2025</v>
      </c>
    </row>
    <row r="267" spans="1:17">
      <c r="A267" t="s">
        <v>556</v>
      </c>
      <c r="B267" s="5" t="s">
        <v>272</v>
      </c>
      <c r="C267" t="s">
        <v>98</v>
      </c>
      <c r="D267" t="s">
        <v>25</v>
      </c>
      <c r="E267" t="s">
        <v>70</v>
      </c>
      <c r="F267" t="s">
        <v>71</v>
      </c>
      <c r="G267" t="s">
        <v>20</v>
      </c>
      <c r="H267" t="s">
        <v>21</v>
      </c>
      <c r="I267">
        <v>1</v>
      </c>
      <c r="J267">
        <v>10103</v>
      </c>
      <c r="K267">
        <v>0.03</v>
      </c>
      <c r="L267" s="9">
        <v>9799.91</v>
      </c>
      <c r="M267" s="9">
        <v>7900.26</v>
      </c>
      <c r="N267" s="9">
        <v>1899.65</v>
      </c>
      <c r="O267">
        <f>MONTH(TblSales[[#This Row],[Date]])</f>
        <v>5</v>
      </c>
      <c r="P267" t="str">
        <f>TEXT(TblSales[[#This Row],[Date]],"mmm")</f>
        <v>May</v>
      </c>
      <c r="Q267">
        <f>YEAR(TblSales[[#This Row],[Date]])</f>
        <v>2025</v>
      </c>
    </row>
    <row r="268" spans="1:17">
      <c r="A268" t="s">
        <v>557</v>
      </c>
      <c r="B268" s="5" t="s">
        <v>216</v>
      </c>
      <c r="C268" t="s">
        <v>32</v>
      </c>
      <c r="D268" t="s">
        <v>25</v>
      </c>
      <c r="E268" t="s">
        <v>26</v>
      </c>
      <c r="F268" t="s">
        <v>27</v>
      </c>
      <c r="G268" t="s">
        <v>108</v>
      </c>
      <c r="H268" t="s">
        <v>56</v>
      </c>
      <c r="I268">
        <v>3</v>
      </c>
      <c r="J268">
        <v>50285</v>
      </c>
      <c r="K268">
        <v>0.13</v>
      </c>
      <c r="L268" s="9">
        <v>131243.85</v>
      </c>
      <c r="M268" s="9">
        <v>114973.09</v>
      </c>
      <c r="N268" s="9">
        <v>16270.76</v>
      </c>
      <c r="O268">
        <f>MONTH(TblSales[[#This Row],[Date]])</f>
        <v>9</v>
      </c>
      <c r="P268" t="str">
        <f>TEXT(TblSales[[#This Row],[Date]],"mmm")</f>
        <v>Sep</v>
      </c>
      <c r="Q268">
        <f>YEAR(TblSales[[#This Row],[Date]])</f>
        <v>2025</v>
      </c>
    </row>
    <row r="269" spans="1:17">
      <c r="A269" t="s">
        <v>558</v>
      </c>
      <c r="B269" s="5" t="s">
        <v>36</v>
      </c>
      <c r="C269" t="s">
        <v>98</v>
      </c>
      <c r="D269" t="s">
        <v>25</v>
      </c>
      <c r="E269" t="s">
        <v>43</v>
      </c>
      <c r="F269" t="s">
        <v>220</v>
      </c>
      <c r="G269" t="s">
        <v>119</v>
      </c>
      <c r="H269" t="s">
        <v>29</v>
      </c>
      <c r="I269">
        <v>2</v>
      </c>
      <c r="J269">
        <v>35202</v>
      </c>
      <c r="K269">
        <v>0.04</v>
      </c>
      <c r="L269" s="9">
        <v>67587.839999999997</v>
      </c>
      <c r="M269" s="9">
        <v>48310.77</v>
      </c>
      <c r="N269" s="9">
        <v>19277.07</v>
      </c>
      <c r="O269">
        <f>MONTH(TblSales[[#This Row],[Date]])</f>
        <v>2</v>
      </c>
      <c r="P269" t="str">
        <f>TEXT(TblSales[[#This Row],[Date]],"mmm")</f>
        <v>Feb</v>
      </c>
      <c r="Q269">
        <f>YEAR(TblSales[[#This Row],[Date]])</f>
        <v>2025</v>
      </c>
    </row>
    <row r="270" spans="1:17">
      <c r="A270" t="s">
        <v>559</v>
      </c>
      <c r="B270" s="5" t="s">
        <v>546</v>
      </c>
      <c r="C270" t="s">
        <v>89</v>
      </c>
      <c r="D270" t="s">
        <v>17</v>
      </c>
      <c r="E270" t="s">
        <v>38</v>
      </c>
      <c r="F270" t="s">
        <v>205</v>
      </c>
      <c r="G270" t="s">
        <v>45</v>
      </c>
      <c r="H270" t="s">
        <v>21</v>
      </c>
      <c r="I270">
        <v>5</v>
      </c>
      <c r="J270">
        <v>47322</v>
      </c>
      <c r="K270">
        <v>0.14000000000000001</v>
      </c>
      <c r="L270" s="9">
        <v>203484.6</v>
      </c>
      <c r="M270" s="9">
        <v>179407.11</v>
      </c>
      <c r="N270" s="9">
        <v>24077.49</v>
      </c>
      <c r="O270">
        <f>MONTH(TblSales[[#This Row],[Date]])</f>
        <v>7</v>
      </c>
      <c r="P270" t="str">
        <f>TEXT(TblSales[[#This Row],[Date]],"mmm")</f>
        <v>Jul</v>
      </c>
      <c r="Q270">
        <f>YEAR(TblSales[[#This Row],[Date]])</f>
        <v>2025</v>
      </c>
    </row>
    <row r="271" spans="1:17">
      <c r="A271" t="s">
        <v>560</v>
      </c>
      <c r="B271" s="5" t="s">
        <v>241</v>
      </c>
      <c r="C271" t="s">
        <v>98</v>
      </c>
      <c r="D271" t="s">
        <v>17</v>
      </c>
      <c r="E271" t="s">
        <v>48</v>
      </c>
      <c r="F271" t="s">
        <v>49</v>
      </c>
      <c r="G271" t="s">
        <v>119</v>
      </c>
      <c r="H271" t="s">
        <v>21</v>
      </c>
      <c r="I271">
        <v>2</v>
      </c>
      <c r="J271">
        <v>24940</v>
      </c>
      <c r="K271">
        <v>0.04</v>
      </c>
      <c r="L271" s="9">
        <v>47884.800000000003</v>
      </c>
      <c r="M271" s="9">
        <v>42476.65</v>
      </c>
      <c r="N271" s="9">
        <v>5408.15</v>
      </c>
      <c r="O271">
        <f>MONTH(TblSales[[#This Row],[Date]])</f>
        <v>6</v>
      </c>
      <c r="P271" t="str">
        <f>TEXT(TblSales[[#This Row],[Date]],"mmm")</f>
        <v>Jun</v>
      </c>
      <c r="Q271">
        <f>YEAR(TblSales[[#This Row],[Date]])</f>
        <v>2025</v>
      </c>
    </row>
    <row r="272" spans="1:17">
      <c r="A272" t="s">
        <v>561</v>
      </c>
      <c r="B272" s="5" t="s">
        <v>471</v>
      </c>
      <c r="C272" t="s">
        <v>85</v>
      </c>
      <c r="D272" t="s">
        <v>25</v>
      </c>
      <c r="E272" t="s">
        <v>26</v>
      </c>
      <c r="F272" t="s">
        <v>562</v>
      </c>
      <c r="G272" t="s">
        <v>45</v>
      </c>
      <c r="H272" t="s">
        <v>21</v>
      </c>
      <c r="I272">
        <v>1</v>
      </c>
      <c r="J272">
        <v>31949</v>
      </c>
      <c r="K272">
        <v>7.0000000000000007E-2</v>
      </c>
      <c r="L272" s="9">
        <v>29712.57</v>
      </c>
      <c r="M272" s="9">
        <v>22739.69</v>
      </c>
      <c r="N272" s="9">
        <v>6972.88</v>
      </c>
      <c r="O272">
        <f>MONTH(TblSales[[#This Row],[Date]])</f>
        <v>8</v>
      </c>
      <c r="P272" t="str">
        <f>TEXT(TblSales[[#This Row],[Date]],"mmm")</f>
        <v>Aug</v>
      </c>
      <c r="Q272">
        <f>YEAR(TblSales[[#This Row],[Date]])</f>
        <v>2025</v>
      </c>
    </row>
    <row r="273" spans="1:17">
      <c r="A273" t="s">
        <v>563</v>
      </c>
      <c r="B273" s="5" t="s">
        <v>564</v>
      </c>
      <c r="C273" t="s">
        <v>98</v>
      </c>
      <c r="D273" t="s">
        <v>60</v>
      </c>
      <c r="E273" t="s">
        <v>102</v>
      </c>
      <c r="F273" t="s">
        <v>103</v>
      </c>
      <c r="G273" t="s">
        <v>40</v>
      </c>
      <c r="H273" t="s">
        <v>34</v>
      </c>
      <c r="I273">
        <v>3</v>
      </c>
      <c r="J273">
        <v>23474</v>
      </c>
      <c r="K273">
        <v>0.05</v>
      </c>
      <c r="L273" s="9">
        <v>66900.899999999994</v>
      </c>
      <c r="M273" s="9">
        <v>56960.800000000003</v>
      </c>
      <c r="N273" s="9">
        <v>9940.1</v>
      </c>
      <c r="O273">
        <f>MONTH(TblSales[[#This Row],[Date]])</f>
        <v>5</v>
      </c>
      <c r="P273" t="str">
        <f>TEXT(TblSales[[#This Row],[Date]],"mmm")</f>
        <v>May</v>
      </c>
      <c r="Q273">
        <f>YEAR(TblSales[[#This Row],[Date]])</f>
        <v>2025</v>
      </c>
    </row>
    <row r="274" spans="1:17">
      <c r="A274" t="s">
        <v>565</v>
      </c>
      <c r="B274" s="5" t="s">
        <v>566</v>
      </c>
      <c r="C274" t="s">
        <v>32</v>
      </c>
      <c r="D274" t="s">
        <v>53</v>
      </c>
      <c r="E274" t="s">
        <v>148</v>
      </c>
      <c r="F274" t="s">
        <v>149</v>
      </c>
      <c r="G274" t="s">
        <v>67</v>
      </c>
      <c r="H274" t="s">
        <v>29</v>
      </c>
      <c r="I274">
        <v>5</v>
      </c>
      <c r="J274">
        <v>16348</v>
      </c>
      <c r="K274">
        <v>0.06</v>
      </c>
      <c r="L274" s="9">
        <v>76835.600000000006</v>
      </c>
      <c r="M274" s="9">
        <v>57013.599999999999</v>
      </c>
      <c r="N274" s="9">
        <v>19822</v>
      </c>
      <c r="O274">
        <f>MONTH(TblSales[[#This Row],[Date]])</f>
        <v>7</v>
      </c>
      <c r="P274" t="str">
        <f>TEXT(TblSales[[#This Row],[Date]],"mmm")</f>
        <v>Jul</v>
      </c>
      <c r="Q274">
        <f>YEAR(TblSales[[#This Row],[Date]])</f>
        <v>2025</v>
      </c>
    </row>
    <row r="275" spans="1:17">
      <c r="A275" t="s">
        <v>567</v>
      </c>
      <c r="B275" s="5" t="s">
        <v>568</v>
      </c>
      <c r="C275" t="s">
        <v>52</v>
      </c>
      <c r="D275" t="s">
        <v>25</v>
      </c>
      <c r="E275" t="s">
        <v>81</v>
      </c>
      <c r="F275" t="s">
        <v>348</v>
      </c>
      <c r="G275" t="s">
        <v>20</v>
      </c>
      <c r="H275" t="s">
        <v>56</v>
      </c>
      <c r="I275">
        <v>1</v>
      </c>
      <c r="J275">
        <v>6674</v>
      </c>
      <c r="K275">
        <v>0.15</v>
      </c>
      <c r="L275" s="9">
        <v>5672.9</v>
      </c>
      <c r="M275" s="9">
        <v>4975.54</v>
      </c>
      <c r="N275" s="9">
        <v>697.36</v>
      </c>
      <c r="O275">
        <f>MONTH(TblSales[[#This Row],[Date]])</f>
        <v>5</v>
      </c>
      <c r="P275" t="str">
        <f>TEXT(TblSales[[#This Row],[Date]],"mmm")</f>
        <v>May</v>
      </c>
      <c r="Q275">
        <f>YEAR(TblSales[[#This Row],[Date]])</f>
        <v>2025</v>
      </c>
    </row>
    <row r="276" spans="1:17">
      <c r="A276" t="s">
        <v>569</v>
      </c>
      <c r="B276" s="5" t="s">
        <v>328</v>
      </c>
      <c r="C276" t="s">
        <v>52</v>
      </c>
      <c r="D276" t="s">
        <v>25</v>
      </c>
      <c r="E276" t="s">
        <v>26</v>
      </c>
      <c r="F276" t="s">
        <v>27</v>
      </c>
      <c r="G276" t="s">
        <v>20</v>
      </c>
      <c r="H276" t="s">
        <v>29</v>
      </c>
      <c r="I276">
        <v>1</v>
      </c>
      <c r="J276">
        <v>31208</v>
      </c>
      <c r="K276">
        <v>0.14000000000000001</v>
      </c>
      <c r="L276" s="9">
        <v>26838.880000000001</v>
      </c>
      <c r="M276" s="9">
        <v>20178.57</v>
      </c>
      <c r="N276" s="9">
        <v>6660.31</v>
      </c>
      <c r="O276">
        <f>MONTH(TblSales[[#This Row],[Date]])</f>
        <v>10</v>
      </c>
      <c r="P276" t="str">
        <f>TEXT(TblSales[[#This Row],[Date]],"mmm")</f>
        <v>Oct</v>
      </c>
      <c r="Q276">
        <f>YEAR(TblSales[[#This Row],[Date]])</f>
        <v>2025</v>
      </c>
    </row>
    <row r="277" spans="1:17">
      <c r="A277" t="s">
        <v>570</v>
      </c>
      <c r="B277" s="5" t="s">
        <v>244</v>
      </c>
      <c r="C277" t="s">
        <v>89</v>
      </c>
      <c r="D277" t="s">
        <v>25</v>
      </c>
      <c r="E277" t="s">
        <v>43</v>
      </c>
      <c r="F277" t="s">
        <v>159</v>
      </c>
      <c r="G277" t="s">
        <v>119</v>
      </c>
      <c r="H277" t="s">
        <v>56</v>
      </c>
      <c r="I277">
        <v>3</v>
      </c>
      <c r="J277">
        <v>55378</v>
      </c>
      <c r="K277">
        <v>0.05</v>
      </c>
      <c r="L277" s="9">
        <v>157827.29999999999</v>
      </c>
      <c r="M277" s="9">
        <v>129312.36</v>
      </c>
      <c r="N277" s="9">
        <v>28514.94</v>
      </c>
      <c r="O277">
        <f>MONTH(TblSales[[#This Row],[Date]])</f>
        <v>8</v>
      </c>
      <c r="P277" t="str">
        <f>TEXT(TblSales[[#This Row],[Date]],"mmm")</f>
        <v>Aug</v>
      </c>
      <c r="Q277">
        <f>YEAR(TblSales[[#This Row],[Date]])</f>
        <v>2025</v>
      </c>
    </row>
    <row r="278" spans="1:17">
      <c r="A278" t="s">
        <v>571</v>
      </c>
      <c r="B278" s="5" t="s">
        <v>572</v>
      </c>
      <c r="C278" t="s">
        <v>59</v>
      </c>
      <c r="D278" t="s">
        <v>17</v>
      </c>
      <c r="E278" t="s">
        <v>48</v>
      </c>
      <c r="F278" t="s">
        <v>172</v>
      </c>
      <c r="G278" t="s">
        <v>67</v>
      </c>
      <c r="H278" t="s">
        <v>21</v>
      </c>
      <c r="I278">
        <v>2</v>
      </c>
      <c r="J278">
        <v>7206</v>
      </c>
      <c r="K278">
        <v>0.05</v>
      </c>
      <c r="L278" s="9">
        <v>13691.4</v>
      </c>
      <c r="M278" s="9">
        <v>12161.07</v>
      </c>
      <c r="N278" s="9">
        <v>1530.33</v>
      </c>
      <c r="O278">
        <f>MONTH(TblSales[[#This Row],[Date]])</f>
        <v>4</v>
      </c>
      <c r="P278" t="str">
        <f>TEXT(TblSales[[#This Row],[Date]],"mmm")</f>
        <v>Apr</v>
      </c>
      <c r="Q278">
        <f>YEAR(TblSales[[#This Row],[Date]])</f>
        <v>2025</v>
      </c>
    </row>
    <row r="279" spans="1:17">
      <c r="A279" t="s">
        <v>573</v>
      </c>
      <c r="B279" s="5" t="s">
        <v>574</v>
      </c>
      <c r="C279" t="s">
        <v>52</v>
      </c>
      <c r="D279" t="s">
        <v>53</v>
      </c>
      <c r="E279" t="s">
        <v>148</v>
      </c>
      <c r="F279" t="s">
        <v>149</v>
      </c>
      <c r="G279" t="s">
        <v>20</v>
      </c>
      <c r="H279" t="s">
        <v>21</v>
      </c>
      <c r="I279">
        <v>5</v>
      </c>
      <c r="J279">
        <v>6651</v>
      </c>
      <c r="K279">
        <v>0.08</v>
      </c>
      <c r="L279" s="9">
        <v>30594.6</v>
      </c>
      <c r="M279" s="9">
        <v>26732.09</v>
      </c>
      <c r="N279" s="9">
        <v>3862.51</v>
      </c>
      <c r="O279">
        <f>MONTH(TblSales[[#This Row],[Date]])</f>
        <v>9</v>
      </c>
      <c r="P279" t="str">
        <f>TEXT(TblSales[[#This Row],[Date]],"mmm")</f>
        <v>Sep</v>
      </c>
      <c r="Q279">
        <f>YEAR(TblSales[[#This Row],[Date]])</f>
        <v>2025</v>
      </c>
    </row>
    <row r="280" spans="1:17">
      <c r="A280" t="s">
        <v>575</v>
      </c>
      <c r="B280" s="5" t="s">
        <v>576</v>
      </c>
      <c r="C280" t="s">
        <v>24</v>
      </c>
      <c r="D280" t="s">
        <v>17</v>
      </c>
      <c r="E280" t="s">
        <v>38</v>
      </c>
      <c r="F280" t="s">
        <v>114</v>
      </c>
      <c r="G280" t="s">
        <v>28</v>
      </c>
      <c r="H280" t="s">
        <v>29</v>
      </c>
      <c r="I280">
        <v>3</v>
      </c>
      <c r="J280">
        <v>48598</v>
      </c>
      <c r="K280">
        <v>0.04</v>
      </c>
      <c r="L280" s="9">
        <v>139962.23999999999</v>
      </c>
      <c r="M280" s="9">
        <v>108670.32</v>
      </c>
      <c r="N280" s="9">
        <v>31291.919999999998</v>
      </c>
      <c r="O280">
        <f>MONTH(TblSales[[#This Row],[Date]])</f>
        <v>3</v>
      </c>
      <c r="P280" t="str">
        <f>TEXT(TblSales[[#This Row],[Date]],"mmm")</f>
        <v>Mar</v>
      </c>
      <c r="Q280">
        <f>YEAR(TblSales[[#This Row],[Date]])</f>
        <v>2025</v>
      </c>
    </row>
    <row r="281" spans="1:17">
      <c r="A281" t="s">
        <v>577</v>
      </c>
      <c r="B281" s="5" t="s">
        <v>254</v>
      </c>
      <c r="C281" t="s">
        <v>24</v>
      </c>
      <c r="D281" t="s">
        <v>53</v>
      </c>
      <c r="E281" t="s">
        <v>140</v>
      </c>
      <c r="F281" t="s">
        <v>187</v>
      </c>
      <c r="G281" t="s">
        <v>45</v>
      </c>
      <c r="H281" t="s">
        <v>21</v>
      </c>
      <c r="I281">
        <v>3</v>
      </c>
      <c r="J281">
        <v>9589</v>
      </c>
      <c r="K281">
        <v>0.03</v>
      </c>
      <c r="L281" s="9">
        <v>27903.99</v>
      </c>
      <c r="M281" s="9">
        <v>20366.62</v>
      </c>
      <c r="N281" s="9">
        <v>7537.37</v>
      </c>
      <c r="O281">
        <f>MONTH(TblSales[[#This Row],[Date]])</f>
        <v>7</v>
      </c>
      <c r="P281" t="str">
        <f>TEXT(TblSales[[#This Row],[Date]],"mmm")</f>
        <v>Jul</v>
      </c>
      <c r="Q281">
        <f>YEAR(TblSales[[#This Row],[Date]])</f>
        <v>2025</v>
      </c>
    </row>
    <row r="282" spans="1:17">
      <c r="A282" t="s">
        <v>578</v>
      </c>
      <c r="B282" s="5" t="s">
        <v>435</v>
      </c>
      <c r="C282" t="s">
        <v>32</v>
      </c>
      <c r="D282" t="s">
        <v>17</v>
      </c>
      <c r="E282" t="s">
        <v>48</v>
      </c>
      <c r="F282" t="s">
        <v>579</v>
      </c>
      <c r="G282" t="s">
        <v>119</v>
      </c>
      <c r="H282" t="s">
        <v>34</v>
      </c>
      <c r="I282">
        <v>3</v>
      </c>
      <c r="J282">
        <v>13372</v>
      </c>
      <c r="K282">
        <v>0.09</v>
      </c>
      <c r="L282" s="9">
        <v>36505.56</v>
      </c>
      <c r="M282" s="9">
        <v>29813.93</v>
      </c>
      <c r="N282" s="9">
        <v>6691.63</v>
      </c>
      <c r="O282">
        <f>MONTH(TblSales[[#This Row],[Date]])</f>
        <v>1</v>
      </c>
      <c r="P282" t="str">
        <f>TEXT(TblSales[[#This Row],[Date]],"mmm")</f>
        <v>Jan</v>
      </c>
      <c r="Q282">
        <f>YEAR(TblSales[[#This Row],[Date]])</f>
        <v>2025</v>
      </c>
    </row>
    <row r="283" spans="1:17">
      <c r="A283" t="s">
        <v>580</v>
      </c>
      <c r="B283" s="5" t="s">
        <v>341</v>
      </c>
      <c r="C283" t="s">
        <v>52</v>
      </c>
      <c r="D283" t="s">
        <v>53</v>
      </c>
      <c r="E283" t="s">
        <v>148</v>
      </c>
      <c r="F283" t="s">
        <v>242</v>
      </c>
      <c r="G283" t="s">
        <v>45</v>
      </c>
      <c r="H283" t="s">
        <v>56</v>
      </c>
      <c r="I283">
        <v>4</v>
      </c>
      <c r="J283">
        <v>30216</v>
      </c>
      <c r="K283">
        <v>0.1</v>
      </c>
      <c r="L283" s="9">
        <v>108777.60000000001</v>
      </c>
      <c r="M283" s="9">
        <v>81532.56</v>
      </c>
      <c r="N283" s="9">
        <v>27245.040000000001</v>
      </c>
      <c r="O283">
        <f>MONTH(TblSales[[#This Row],[Date]])</f>
        <v>1</v>
      </c>
      <c r="P283" t="str">
        <f>TEXT(TblSales[[#This Row],[Date]],"mmm")</f>
        <v>Jan</v>
      </c>
      <c r="Q283">
        <f>YEAR(TblSales[[#This Row],[Date]])</f>
        <v>2025</v>
      </c>
    </row>
    <row r="284" spans="1:17">
      <c r="A284" t="s">
        <v>581</v>
      </c>
      <c r="B284" s="5" t="s">
        <v>252</v>
      </c>
      <c r="C284" t="s">
        <v>98</v>
      </c>
      <c r="D284" t="s">
        <v>53</v>
      </c>
      <c r="E284" t="s">
        <v>54</v>
      </c>
      <c r="F284" t="s">
        <v>55</v>
      </c>
      <c r="G284" t="s">
        <v>40</v>
      </c>
      <c r="H284" t="s">
        <v>21</v>
      </c>
      <c r="I284">
        <v>3</v>
      </c>
      <c r="J284">
        <v>5525</v>
      </c>
      <c r="K284">
        <v>0.1</v>
      </c>
      <c r="L284" s="9">
        <v>14917.5</v>
      </c>
      <c r="M284" s="9">
        <v>12328.9</v>
      </c>
      <c r="N284" s="9">
        <v>2588.6</v>
      </c>
      <c r="O284">
        <f>MONTH(TblSales[[#This Row],[Date]])</f>
        <v>1</v>
      </c>
      <c r="P284" t="str">
        <f>TEXT(TblSales[[#This Row],[Date]],"mmm")</f>
        <v>Jan</v>
      </c>
      <c r="Q284">
        <f>YEAR(TblSales[[#This Row],[Date]])</f>
        <v>2025</v>
      </c>
    </row>
    <row r="285" spans="1:17">
      <c r="A285" t="s">
        <v>582</v>
      </c>
      <c r="B285" s="5" t="s">
        <v>583</v>
      </c>
      <c r="C285" t="s">
        <v>113</v>
      </c>
      <c r="D285" t="s">
        <v>17</v>
      </c>
      <c r="E285" t="s">
        <v>38</v>
      </c>
      <c r="F285" t="s">
        <v>96</v>
      </c>
      <c r="G285" t="s">
        <v>40</v>
      </c>
      <c r="H285" t="s">
        <v>56</v>
      </c>
      <c r="I285">
        <v>4</v>
      </c>
      <c r="J285">
        <v>39871</v>
      </c>
      <c r="K285">
        <v>0.13</v>
      </c>
      <c r="L285" s="9">
        <v>138751.07999999999</v>
      </c>
      <c r="M285" s="9">
        <v>114050.33</v>
      </c>
      <c r="N285" s="9">
        <v>24700.75</v>
      </c>
      <c r="O285">
        <f>MONTH(TblSales[[#This Row],[Date]])</f>
        <v>10</v>
      </c>
      <c r="P285" t="str">
        <f>TEXT(TblSales[[#This Row],[Date]],"mmm")</f>
        <v>Oct</v>
      </c>
      <c r="Q285">
        <f>YEAR(TblSales[[#This Row],[Date]])</f>
        <v>2025</v>
      </c>
    </row>
    <row r="286" spans="1:17">
      <c r="A286" t="s">
        <v>584</v>
      </c>
      <c r="B286" s="5" t="s">
        <v>585</v>
      </c>
      <c r="C286" t="s">
        <v>59</v>
      </c>
      <c r="D286" t="s">
        <v>53</v>
      </c>
      <c r="E286" t="s">
        <v>54</v>
      </c>
      <c r="F286" t="s">
        <v>78</v>
      </c>
      <c r="G286" t="s">
        <v>20</v>
      </c>
      <c r="H286" t="s">
        <v>34</v>
      </c>
      <c r="I286">
        <v>5</v>
      </c>
      <c r="J286">
        <v>50961</v>
      </c>
      <c r="K286">
        <v>0.15</v>
      </c>
      <c r="L286" s="9">
        <v>216584.25</v>
      </c>
      <c r="M286" s="9">
        <v>160644.82</v>
      </c>
      <c r="N286" s="9">
        <v>55939.43</v>
      </c>
      <c r="O286">
        <f>MONTH(TblSales[[#This Row],[Date]])</f>
        <v>8</v>
      </c>
      <c r="P286" t="str">
        <f>TEXT(TblSales[[#This Row],[Date]],"mmm")</f>
        <v>Aug</v>
      </c>
      <c r="Q286">
        <f>YEAR(TblSales[[#This Row],[Date]])</f>
        <v>2025</v>
      </c>
    </row>
    <row r="287" spans="1:17">
      <c r="A287" t="s">
        <v>586</v>
      </c>
      <c r="B287" s="5" t="s">
        <v>233</v>
      </c>
      <c r="C287" t="s">
        <v>113</v>
      </c>
      <c r="D287" t="s">
        <v>25</v>
      </c>
      <c r="E287" t="s">
        <v>81</v>
      </c>
      <c r="F287" t="s">
        <v>377</v>
      </c>
      <c r="G287" t="s">
        <v>20</v>
      </c>
      <c r="H287" t="s">
        <v>34</v>
      </c>
      <c r="I287">
        <v>2</v>
      </c>
      <c r="J287">
        <v>45836</v>
      </c>
      <c r="K287">
        <v>0.1</v>
      </c>
      <c r="L287" s="9">
        <v>82504.800000000003</v>
      </c>
      <c r="M287" s="9">
        <v>72032.479999999996</v>
      </c>
      <c r="N287" s="9">
        <v>10472.32</v>
      </c>
      <c r="O287">
        <f>MONTH(TblSales[[#This Row],[Date]])</f>
        <v>2</v>
      </c>
      <c r="P287" t="str">
        <f>TEXT(TblSales[[#This Row],[Date]],"mmm")</f>
        <v>Feb</v>
      </c>
      <c r="Q287">
        <f>YEAR(TblSales[[#This Row],[Date]])</f>
        <v>2025</v>
      </c>
    </row>
    <row r="288" spans="1:17">
      <c r="A288" t="s">
        <v>587</v>
      </c>
      <c r="B288" s="5" t="s">
        <v>294</v>
      </c>
      <c r="C288" t="s">
        <v>16</v>
      </c>
      <c r="D288" t="s">
        <v>17</v>
      </c>
      <c r="E288" t="s">
        <v>38</v>
      </c>
      <c r="F288" t="s">
        <v>39</v>
      </c>
      <c r="G288" t="s">
        <v>119</v>
      </c>
      <c r="H288" t="s">
        <v>29</v>
      </c>
      <c r="I288">
        <v>5</v>
      </c>
      <c r="J288">
        <v>18971</v>
      </c>
      <c r="K288">
        <v>0.14000000000000001</v>
      </c>
      <c r="L288" s="9">
        <v>81575.3</v>
      </c>
      <c r="M288" s="9">
        <v>71235.63</v>
      </c>
      <c r="N288" s="9">
        <v>10339.67</v>
      </c>
      <c r="O288">
        <f>MONTH(TblSales[[#This Row],[Date]])</f>
        <v>2</v>
      </c>
      <c r="P288" t="str">
        <f>TEXT(TblSales[[#This Row],[Date]],"mmm")</f>
        <v>Feb</v>
      </c>
      <c r="Q288">
        <f>YEAR(TblSales[[#This Row],[Date]])</f>
        <v>2025</v>
      </c>
    </row>
    <row r="289" spans="1:17">
      <c r="A289" t="s">
        <v>588</v>
      </c>
      <c r="B289" s="5" t="s">
        <v>566</v>
      </c>
      <c r="C289" t="s">
        <v>85</v>
      </c>
      <c r="D289" t="s">
        <v>53</v>
      </c>
      <c r="E289" t="s">
        <v>127</v>
      </c>
      <c r="F289" t="s">
        <v>131</v>
      </c>
      <c r="G289" t="s">
        <v>119</v>
      </c>
      <c r="H289" t="s">
        <v>29</v>
      </c>
      <c r="I289">
        <v>3</v>
      </c>
      <c r="J289">
        <v>59471</v>
      </c>
      <c r="K289">
        <v>0.08</v>
      </c>
      <c r="L289" s="9">
        <v>164139.96</v>
      </c>
      <c r="M289" s="9">
        <v>147041.9</v>
      </c>
      <c r="N289" s="9">
        <v>17098.060000000001</v>
      </c>
      <c r="O289">
        <f>MONTH(TblSales[[#This Row],[Date]])</f>
        <v>7</v>
      </c>
      <c r="P289" t="str">
        <f>TEXT(TblSales[[#This Row],[Date]],"mmm")</f>
        <v>Jul</v>
      </c>
      <c r="Q289">
        <f>YEAR(TblSales[[#This Row],[Date]])</f>
        <v>2025</v>
      </c>
    </row>
    <row r="290" spans="1:17">
      <c r="A290" t="s">
        <v>589</v>
      </c>
      <c r="B290" s="5" t="s">
        <v>590</v>
      </c>
      <c r="C290" t="s">
        <v>24</v>
      </c>
      <c r="D290" t="s">
        <v>25</v>
      </c>
      <c r="E290" t="s">
        <v>26</v>
      </c>
      <c r="F290" t="s">
        <v>27</v>
      </c>
      <c r="G290" t="s">
        <v>45</v>
      </c>
      <c r="H290" t="s">
        <v>21</v>
      </c>
      <c r="I290">
        <v>5</v>
      </c>
      <c r="J290">
        <v>17477</v>
      </c>
      <c r="K290">
        <v>0.09</v>
      </c>
      <c r="L290" s="9">
        <v>79520.350000000006</v>
      </c>
      <c r="M290" s="9">
        <v>67029.009999999995</v>
      </c>
      <c r="N290" s="9">
        <v>12491.34</v>
      </c>
      <c r="O290">
        <f>MONTH(TblSales[[#This Row],[Date]])</f>
        <v>4</v>
      </c>
      <c r="P290" t="str">
        <f>TEXT(TblSales[[#This Row],[Date]],"mmm")</f>
        <v>Apr</v>
      </c>
      <c r="Q290">
        <f>YEAR(TblSales[[#This Row],[Date]])</f>
        <v>2025</v>
      </c>
    </row>
    <row r="291" spans="1:17">
      <c r="A291" t="s">
        <v>591</v>
      </c>
      <c r="B291" s="5" t="s">
        <v>153</v>
      </c>
      <c r="C291" t="s">
        <v>24</v>
      </c>
      <c r="D291" t="s">
        <v>25</v>
      </c>
      <c r="E291" t="s">
        <v>81</v>
      </c>
      <c r="F291" t="s">
        <v>348</v>
      </c>
      <c r="G291" t="s">
        <v>119</v>
      </c>
      <c r="H291" t="s">
        <v>29</v>
      </c>
      <c r="I291">
        <v>2</v>
      </c>
      <c r="J291">
        <v>34325</v>
      </c>
      <c r="K291">
        <v>7.0000000000000007E-2</v>
      </c>
      <c r="L291" s="9">
        <v>63844.5</v>
      </c>
      <c r="M291" s="9">
        <v>52172.46</v>
      </c>
      <c r="N291" s="9">
        <v>11672.04</v>
      </c>
      <c r="O291">
        <f>MONTH(TblSales[[#This Row],[Date]])</f>
        <v>5</v>
      </c>
      <c r="P291" t="str">
        <f>TEXT(TblSales[[#This Row],[Date]],"mmm")</f>
        <v>May</v>
      </c>
      <c r="Q291">
        <f>YEAR(TblSales[[#This Row],[Date]])</f>
        <v>2025</v>
      </c>
    </row>
    <row r="292" spans="1:17">
      <c r="A292" t="s">
        <v>592</v>
      </c>
      <c r="B292" s="5" t="s">
        <v>593</v>
      </c>
      <c r="C292" t="s">
        <v>98</v>
      </c>
      <c r="D292" t="s">
        <v>60</v>
      </c>
      <c r="E292" t="s">
        <v>102</v>
      </c>
      <c r="F292" t="s">
        <v>103</v>
      </c>
      <c r="G292" t="s">
        <v>108</v>
      </c>
      <c r="H292" t="s">
        <v>21</v>
      </c>
      <c r="I292">
        <v>1</v>
      </c>
      <c r="J292">
        <v>40135</v>
      </c>
      <c r="K292">
        <v>0.11</v>
      </c>
      <c r="L292" s="9">
        <v>35720.15</v>
      </c>
      <c r="M292" s="9">
        <v>29382.26</v>
      </c>
      <c r="N292" s="9">
        <v>6337.89</v>
      </c>
      <c r="O292">
        <f>MONTH(TblSales[[#This Row],[Date]])</f>
        <v>8</v>
      </c>
      <c r="P292" t="str">
        <f>TEXT(TblSales[[#This Row],[Date]],"mmm")</f>
        <v>Aug</v>
      </c>
      <c r="Q292">
        <f>YEAR(TblSales[[#This Row],[Date]])</f>
        <v>2025</v>
      </c>
    </row>
    <row r="293" spans="1:17">
      <c r="A293" t="s">
        <v>594</v>
      </c>
      <c r="B293" s="5" t="s">
        <v>595</v>
      </c>
      <c r="C293" t="s">
        <v>24</v>
      </c>
      <c r="D293" t="s">
        <v>60</v>
      </c>
      <c r="E293" t="s">
        <v>65</v>
      </c>
      <c r="F293" t="s">
        <v>66</v>
      </c>
      <c r="G293" t="s">
        <v>28</v>
      </c>
      <c r="H293" t="s">
        <v>21</v>
      </c>
      <c r="I293">
        <v>1</v>
      </c>
      <c r="J293">
        <v>50077</v>
      </c>
      <c r="K293">
        <v>0.14000000000000001</v>
      </c>
      <c r="L293" s="9">
        <v>43066.22</v>
      </c>
      <c r="M293" s="9">
        <v>31438.27</v>
      </c>
      <c r="N293" s="9">
        <v>11627.95</v>
      </c>
      <c r="O293">
        <f>MONTH(TblSales[[#This Row],[Date]])</f>
        <v>4</v>
      </c>
      <c r="P293" t="str">
        <f>TEXT(TblSales[[#This Row],[Date]],"mmm")</f>
        <v>Apr</v>
      </c>
      <c r="Q293">
        <f>YEAR(TblSales[[#This Row],[Date]])</f>
        <v>2025</v>
      </c>
    </row>
    <row r="294" spans="1:17">
      <c r="A294" t="s">
        <v>596</v>
      </c>
      <c r="B294" s="5" t="s">
        <v>597</v>
      </c>
      <c r="C294" t="s">
        <v>85</v>
      </c>
      <c r="D294" t="s">
        <v>25</v>
      </c>
      <c r="E294" t="s">
        <v>81</v>
      </c>
      <c r="F294" t="s">
        <v>377</v>
      </c>
      <c r="G294" t="s">
        <v>45</v>
      </c>
      <c r="H294" t="s">
        <v>29</v>
      </c>
      <c r="I294">
        <v>3</v>
      </c>
      <c r="J294">
        <v>45032</v>
      </c>
      <c r="K294">
        <v>0.11</v>
      </c>
      <c r="L294" s="9">
        <v>120235.44</v>
      </c>
      <c r="M294" s="9">
        <v>90212.78</v>
      </c>
      <c r="N294" s="9">
        <v>30022.66</v>
      </c>
      <c r="O294">
        <f>MONTH(TblSales[[#This Row],[Date]])</f>
        <v>10</v>
      </c>
      <c r="P294" t="str">
        <f>TEXT(TblSales[[#This Row],[Date]],"mmm")</f>
        <v>Oct</v>
      </c>
      <c r="Q294">
        <f>YEAR(TblSales[[#This Row],[Date]])</f>
        <v>2025</v>
      </c>
    </row>
    <row r="295" spans="1:17">
      <c r="A295" t="s">
        <v>598</v>
      </c>
      <c r="B295" s="5" t="s">
        <v>143</v>
      </c>
      <c r="C295" t="s">
        <v>16</v>
      </c>
      <c r="D295" t="s">
        <v>53</v>
      </c>
      <c r="E295" t="s">
        <v>127</v>
      </c>
      <c r="F295" t="s">
        <v>137</v>
      </c>
      <c r="G295" t="s">
        <v>33</v>
      </c>
      <c r="H295" t="s">
        <v>29</v>
      </c>
      <c r="I295">
        <v>1</v>
      </c>
      <c r="J295">
        <v>35436</v>
      </c>
      <c r="K295">
        <v>0.09</v>
      </c>
      <c r="L295" s="9">
        <v>32246.76</v>
      </c>
      <c r="M295" s="9">
        <v>24948.55</v>
      </c>
      <c r="N295" s="9">
        <v>7298.21</v>
      </c>
      <c r="O295">
        <f>MONTH(TblSales[[#This Row],[Date]])</f>
        <v>5</v>
      </c>
      <c r="P295" t="str">
        <f>TEXT(TblSales[[#This Row],[Date]],"mmm")</f>
        <v>May</v>
      </c>
      <c r="Q295">
        <f>YEAR(TblSales[[#This Row],[Date]])</f>
        <v>2025</v>
      </c>
    </row>
    <row r="296" spans="1:17">
      <c r="A296" t="s">
        <v>599</v>
      </c>
      <c r="B296" s="5" t="s">
        <v>139</v>
      </c>
      <c r="C296" t="s">
        <v>85</v>
      </c>
      <c r="D296" t="s">
        <v>53</v>
      </c>
      <c r="E296" t="s">
        <v>140</v>
      </c>
      <c r="F296" t="s">
        <v>165</v>
      </c>
      <c r="G296" t="s">
        <v>40</v>
      </c>
      <c r="H296" t="s">
        <v>34</v>
      </c>
      <c r="I296">
        <v>2</v>
      </c>
      <c r="J296">
        <v>50314</v>
      </c>
      <c r="K296">
        <v>0.14000000000000001</v>
      </c>
      <c r="L296" s="9">
        <v>86540.08</v>
      </c>
      <c r="M296" s="9">
        <v>72157.34</v>
      </c>
      <c r="N296" s="9">
        <v>14382.74</v>
      </c>
      <c r="O296">
        <f>MONTH(TblSales[[#This Row],[Date]])</f>
        <v>3</v>
      </c>
      <c r="P296" t="str">
        <f>TEXT(TblSales[[#This Row],[Date]],"mmm")</f>
        <v>Mar</v>
      </c>
      <c r="Q296">
        <f>YEAR(TblSales[[#This Row],[Date]])</f>
        <v>2025</v>
      </c>
    </row>
    <row r="297" spans="1:17">
      <c r="A297" t="s">
        <v>600</v>
      </c>
      <c r="B297" s="5" t="s">
        <v>335</v>
      </c>
      <c r="C297" t="s">
        <v>24</v>
      </c>
      <c r="D297" t="s">
        <v>53</v>
      </c>
      <c r="E297" t="s">
        <v>140</v>
      </c>
      <c r="F297" t="s">
        <v>217</v>
      </c>
      <c r="G297" t="s">
        <v>40</v>
      </c>
      <c r="H297" t="s">
        <v>56</v>
      </c>
      <c r="I297">
        <v>2</v>
      </c>
      <c r="J297">
        <v>33539</v>
      </c>
      <c r="K297">
        <v>0.05</v>
      </c>
      <c r="L297" s="9">
        <v>63724.1</v>
      </c>
      <c r="M297" s="9">
        <v>46180.97</v>
      </c>
      <c r="N297" s="9">
        <v>17543.13</v>
      </c>
      <c r="O297">
        <f>MONTH(TblSales[[#This Row],[Date]])</f>
        <v>1</v>
      </c>
      <c r="P297" t="str">
        <f>TEXT(TblSales[[#This Row],[Date]],"mmm")</f>
        <v>Jan</v>
      </c>
      <c r="Q297">
        <f>YEAR(TblSales[[#This Row],[Date]])</f>
        <v>2025</v>
      </c>
    </row>
    <row r="298" spans="1:17">
      <c r="A298" t="s">
        <v>601</v>
      </c>
      <c r="B298" s="5" t="s">
        <v>602</v>
      </c>
      <c r="C298" t="s">
        <v>113</v>
      </c>
      <c r="D298" t="s">
        <v>53</v>
      </c>
      <c r="E298" t="s">
        <v>127</v>
      </c>
      <c r="F298" t="s">
        <v>137</v>
      </c>
      <c r="G298" t="s">
        <v>45</v>
      </c>
      <c r="H298" t="s">
        <v>21</v>
      </c>
      <c r="I298">
        <v>2</v>
      </c>
      <c r="J298">
        <v>51420</v>
      </c>
      <c r="K298">
        <v>0.09</v>
      </c>
      <c r="L298" s="9">
        <v>93584.4</v>
      </c>
      <c r="M298" s="9">
        <v>83556.58</v>
      </c>
      <c r="N298" s="9">
        <v>10027.82</v>
      </c>
      <c r="O298">
        <f>MONTH(TblSales[[#This Row],[Date]])</f>
        <v>8</v>
      </c>
      <c r="P298" t="str">
        <f>TEXT(TblSales[[#This Row],[Date]],"mmm")</f>
        <v>Aug</v>
      </c>
      <c r="Q298">
        <f>YEAR(TblSales[[#This Row],[Date]])</f>
        <v>2025</v>
      </c>
    </row>
    <row r="299" spans="1:17">
      <c r="A299" t="s">
        <v>603</v>
      </c>
      <c r="B299" s="5" t="s">
        <v>197</v>
      </c>
      <c r="C299" t="s">
        <v>85</v>
      </c>
      <c r="D299" t="s">
        <v>25</v>
      </c>
      <c r="E299" t="s">
        <v>70</v>
      </c>
      <c r="F299" t="s">
        <v>320</v>
      </c>
      <c r="G299" t="s">
        <v>119</v>
      </c>
      <c r="H299" t="s">
        <v>56</v>
      </c>
      <c r="I299">
        <v>1</v>
      </c>
      <c r="J299">
        <v>42774</v>
      </c>
      <c r="K299">
        <v>0.09</v>
      </c>
      <c r="L299" s="9">
        <v>38924.339999999997</v>
      </c>
      <c r="M299" s="9">
        <v>30240.959999999999</v>
      </c>
      <c r="N299" s="9">
        <v>8683.3799999999992</v>
      </c>
      <c r="O299">
        <f>MONTH(TblSales[[#This Row],[Date]])</f>
        <v>9</v>
      </c>
      <c r="P299" t="str">
        <f>TEXT(TblSales[[#This Row],[Date]],"mmm")</f>
        <v>Sep</v>
      </c>
      <c r="Q299">
        <f>YEAR(TblSales[[#This Row],[Date]])</f>
        <v>2025</v>
      </c>
    </row>
    <row r="300" spans="1:17">
      <c r="A300" t="s">
        <v>604</v>
      </c>
      <c r="B300" s="5" t="s">
        <v>213</v>
      </c>
      <c r="C300" t="s">
        <v>24</v>
      </c>
      <c r="D300" t="s">
        <v>25</v>
      </c>
      <c r="E300" t="s">
        <v>43</v>
      </c>
      <c r="F300" t="s">
        <v>220</v>
      </c>
      <c r="G300" t="s">
        <v>45</v>
      </c>
      <c r="H300" t="s">
        <v>29</v>
      </c>
      <c r="I300">
        <v>3</v>
      </c>
      <c r="J300">
        <v>33908</v>
      </c>
      <c r="K300">
        <v>0.12</v>
      </c>
      <c r="L300" s="9">
        <v>89517.119999999995</v>
      </c>
      <c r="M300" s="9">
        <v>64747.38</v>
      </c>
      <c r="N300" s="9">
        <v>24769.74</v>
      </c>
      <c r="O300">
        <f>MONTH(TblSales[[#This Row],[Date]])</f>
        <v>6</v>
      </c>
      <c r="P300" t="str">
        <f>TEXT(TblSales[[#This Row],[Date]],"mmm")</f>
        <v>Jun</v>
      </c>
      <c r="Q300">
        <f>YEAR(TblSales[[#This Row],[Date]])</f>
        <v>2025</v>
      </c>
    </row>
    <row r="301" spans="1:17">
      <c r="A301" t="s">
        <v>605</v>
      </c>
      <c r="B301" s="5" t="s">
        <v>606</v>
      </c>
      <c r="C301" t="s">
        <v>37</v>
      </c>
      <c r="D301" t="s">
        <v>60</v>
      </c>
      <c r="E301" t="s">
        <v>106</v>
      </c>
      <c r="F301" t="s">
        <v>441</v>
      </c>
      <c r="G301" t="s">
        <v>33</v>
      </c>
      <c r="H301" t="s">
        <v>29</v>
      </c>
      <c r="I301">
        <v>2</v>
      </c>
      <c r="J301">
        <v>56462</v>
      </c>
      <c r="K301">
        <v>0.14000000000000001</v>
      </c>
      <c r="L301" s="9">
        <v>97114.64</v>
      </c>
      <c r="M301" s="9">
        <v>79514.73</v>
      </c>
      <c r="N301" s="9">
        <v>17599.91</v>
      </c>
      <c r="O301">
        <f>MONTH(TblSales[[#This Row],[Date]])</f>
        <v>2</v>
      </c>
      <c r="P301" t="str">
        <f>TEXT(TblSales[[#This Row],[Date]],"mmm")</f>
        <v>Feb</v>
      </c>
      <c r="Q301">
        <f>YEAR(TblSales[[#This Row],[Date]])</f>
        <v>2025</v>
      </c>
    </row>
    <row r="302" spans="1:17">
      <c r="A302" t="s">
        <v>607</v>
      </c>
      <c r="B302" s="5" t="s">
        <v>608</v>
      </c>
      <c r="C302" t="s">
        <v>32</v>
      </c>
      <c r="D302" t="s">
        <v>53</v>
      </c>
      <c r="E302" t="s">
        <v>127</v>
      </c>
      <c r="F302" t="s">
        <v>190</v>
      </c>
      <c r="G302" t="s">
        <v>119</v>
      </c>
      <c r="H302" t="s">
        <v>29</v>
      </c>
      <c r="I302">
        <v>4</v>
      </c>
      <c r="J302">
        <v>24665</v>
      </c>
      <c r="K302">
        <v>0.1</v>
      </c>
      <c r="L302" s="9">
        <v>88794</v>
      </c>
      <c r="M302" s="9">
        <v>78973.429999999993</v>
      </c>
      <c r="N302" s="9">
        <v>9820.57</v>
      </c>
      <c r="O302">
        <f>MONTH(TblSales[[#This Row],[Date]])</f>
        <v>1</v>
      </c>
      <c r="P302" t="str">
        <f>TEXT(TblSales[[#This Row],[Date]],"mmm")</f>
        <v>Jan</v>
      </c>
      <c r="Q302">
        <f>YEAR(TblSales[[#This Row],[Date]])</f>
        <v>2025</v>
      </c>
    </row>
    <row r="303" spans="1:17">
      <c r="A303" t="s">
        <v>609</v>
      </c>
      <c r="B303" s="5" t="s">
        <v>265</v>
      </c>
      <c r="C303" t="s">
        <v>24</v>
      </c>
      <c r="D303" t="s">
        <v>17</v>
      </c>
      <c r="E303" t="s">
        <v>18</v>
      </c>
      <c r="F303" t="s">
        <v>19</v>
      </c>
      <c r="G303" t="s">
        <v>119</v>
      </c>
      <c r="H303" t="s">
        <v>21</v>
      </c>
      <c r="I303">
        <v>1</v>
      </c>
      <c r="J303">
        <v>47413</v>
      </c>
      <c r="K303">
        <v>0.05</v>
      </c>
      <c r="L303" s="9">
        <v>45042.35</v>
      </c>
      <c r="M303" s="9">
        <v>32224.21</v>
      </c>
      <c r="N303" s="9">
        <v>12818.14</v>
      </c>
      <c r="O303">
        <f>MONTH(TblSales[[#This Row],[Date]])</f>
        <v>2</v>
      </c>
      <c r="P303" t="str">
        <f>TEXT(TblSales[[#This Row],[Date]],"mmm")</f>
        <v>Feb</v>
      </c>
      <c r="Q303">
        <f>YEAR(TblSales[[#This Row],[Date]])</f>
        <v>2025</v>
      </c>
    </row>
    <row r="304" spans="1:17">
      <c r="A304" t="s">
        <v>610</v>
      </c>
      <c r="B304" s="5" t="s">
        <v>611</v>
      </c>
      <c r="C304" t="s">
        <v>52</v>
      </c>
      <c r="D304" t="s">
        <v>25</v>
      </c>
      <c r="E304" t="s">
        <v>70</v>
      </c>
      <c r="F304" t="s">
        <v>71</v>
      </c>
      <c r="G304" t="s">
        <v>20</v>
      </c>
      <c r="H304" t="s">
        <v>21</v>
      </c>
      <c r="I304">
        <v>2</v>
      </c>
      <c r="J304">
        <v>53258</v>
      </c>
      <c r="K304">
        <v>0.08</v>
      </c>
      <c r="L304" s="9">
        <v>97994.72</v>
      </c>
      <c r="M304" s="9">
        <v>87833.77</v>
      </c>
      <c r="N304" s="9">
        <v>10160.950000000001</v>
      </c>
      <c r="O304">
        <f>MONTH(TblSales[[#This Row],[Date]])</f>
        <v>4</v>
      </c>
      <c r="P304" t="str">
        <f>TEXT(TblSales[[#This Row],[Date]],"mmm")</f>
        <v>Apr</v>
      </c>
      <c r="Q304">
        <f>YEAR(TblSales[[#This Row],[Date]])</f>
        <v>2025</v>
      </c>
    </row>
    <row r="305" spans="1:17">
      <c r="A305" t="s">
        <v>612</v>
      </c>
      <c r="B305" s="5" t="s">
        <v>379</v>
      </c>
      <c r="C305" t="s">
        <v>52</v>
      </c>
      <c r="D305" t="s">
        <v>17</v>
      </c>
      <c r="E305" t="s">
        <v>18</v>
      </c>
      <c r="F305" t="s">
        <v>86</v>
      </c>
      <c r="G305" t="s">
        <v>20</v>
      </c>
      <c r="H305" t="s">
        <v>34</v>
      </c>
      <c r="I305">
        <v>3</v>
      </c>
      <c r="J305">
        <v>51794</v>
      </c>
      <c r="K305">
        <v>0.13</v>
      </c>
      <c r="L305" s="9">
        <v>135182.34</v>
      </c>
      <c r="M305" s="9">
        <v>100448.75</v>
      </c>
      <c r="N305" s="9">
        <v>34733.589999999997</v>
      </c>
      <c r="O305">
        <f>MONTH(TblSales[[#This Row],[Date]])</f>
        <v>2</v>
      </c>
      <c r="P305" t="str">
        <f>TEXT(TblSales[[#This Row],[Date]],"mmm")</f>
        <v>Feb</v>
      </c>
      <c r="Q305">
        <f>YEAR(TblSales[[#This Row],[Date]])</f>
        <v>2025</v>
      </c>
    </row>
    <row r="306" spans="1:17">
      <c r="A306" t="s">
        <v>613</v>
      </c>
      <c r="B306" s="5" t="s">
        <v>614</v>
      </c>
      <c r="C306" t="s">
        <v>16</v>
      </c>
      <c r="D306" t="s">
        <v>53</v>
      </c>
      <c r="E306" t="s">
        <v>127</v>
      </c>
      <c r="F306" t="s">
        <v>128</v>
      </c>
      <c r="G306" t="s">
        <v>67</v>
      </c>
      <c r="H306" t="s">
        <v>34</v>
      </c>
      <c r="I306">
        <v>1</v>
      </c>
      <c r="J306">
        <v>41802</v>
      </c>
      <c r="K306">
        <v>7.0000000000000007E-2</v>
      </c>
      <c r="L306" s="9">
        <v>38875.86</v>
      </c>
      <c r="M306" s="9">
        <v>29603.78</v>
      </c>
      <c r="N306" s="9">
        <v>9272.08</v>
      </c>
      <c r="O306">
        <f>MONTH(TblSales[[#This Row],[Date]])</f>
        <v>1</v>
      </c>
      <c r="P306" t="str">
        <f>TEXT(TblSales[[#This Row],[Date]],"mmm")</f>
        <v>Jan</v>
      </c>
      <c r="Q306">
        <f>YEAR(TblSales[[#This Row],[Date]])</f>
        <v>2025</v>
      </c>
    </row>
    <row r="307" spans="1:17">
      <c r="A307" t="s">
        <v>615</v>
      </c>
      <c r="B307" s="5" t="s">
        <v>616</v>
      </c>
      <c r="C307" t="s">
        <v>16</v>
      </c>
      <c r="D307" t="s">
        <v>17</v>
      </c>
      <c r="E307" t="s">
        <v>18</v>
      </c>
      <c r="F307" t="s">
        <v>19</v>
      </c>
      <c r="G307" t="s">
        <v>33</v>
      </c>
      <c r="H307" t="s">
        <v>56</v>
      </c>
      <c r="I307">
        <v>3</v>
      </c>
      <c r="J307">
        <v>18260</v>
      </c>
      <c r="K307">
        <v>0.05</v>
      </c>
      <c r="L307" s="9">
        <v>52041</v>
      </c>
      <c r="M307" s="9">
        <v>42968.75</v>
      </c>
      <c r="N307" s="9">
        <v>9072.25</v>
      </c>
      <c r="O307">
        <f>MONTH(TblSales[[#This Row],[Date]])</f>
        <v>8</v>
      </c>
      <c r="P307" t="str">
        <f>TEXT(TblSales[[#This Row],[Date]],"mmm")</f>
        <v>Aug</v>
      </c>
      <c r="Q307">
        <f>YEAR(TblSales[[#This Row],[Date]])</f>
        <v>2025</v>
      </c>
    </row>
    <row r="308" spans="1:17">
      <c r="A308" t="s">
        <v>617</v>
      </c>
      <c r="B308" s="5" t="s">
        <v>618</v>
      </c>
      <c r="C308" t="s">
        <v>113</v>
      </c>
      <c r="D308" t="s">
        <v>25</v>
      </c>
      <c r="E308" t="s">
        <v>81</v>
      </c>
      <c r="F308" t="s">
        <v>82</v>
      </c>
      <c r="G308" t="s">
        <v>119</v>
      </c>
      <c r="H308" t="s">
        <v>56</v>
      </c>
      <c r="I308">
        <v>5</v>
      </c>
      <c r="J308">
        <v>53885</v>
      </c>
      <c r="K308">
        <v>0.05</v>
      </c>
      <c r="L308" s="9">
        <v>255953.75</v>
      </c>
      <c r="M308" s="9">
        <v>229906.83</v>
      </c>
      <c r="N308" s="9">
        <v>26046.92</v>
      </c>
      <c r="O308">
        <f>MONTH(TblSales[[#This Row],[Date]])</f>
        <v>2</v>
      </c>
      <c r="P308" t="str">
        <f>TEXT(TblSales[[#This Row],[Date]],"mmm")</f>
        <v>Feb</v>
      </c>
      <c r="Q308">
        <f>YEAR(TblSales[[#This Row],[Date]])</f>
        <v>2025</v>
      </c>
    </row>
    <row r="309" spans="1:17">
      <c r="A309" t="s">
        <v>619</v>
      </c>
      <c r="B309" s="5" t="s">
        <v>384</v>
      </c>
      <c r="C309" t="s">
        <v>85</v>
      </c>
      <c r="D309" t="s">
        <v>17</v>
      </c>
      <c r="E309" t="s">
        <v>74</v>
      </c>
      <c r="F309" t="s">
        <v>368</v>
      </c>
      <c r="G309" t="s">
        <v>119</v>
      </c>
      <c r="H309" t="s">
        <v>21</v>
      </c>
      <c r="I309">
        <v>3</v>
      </c>
      <c r="J309">
        <v>13936</v>
      </c>
      <c r="K309">
        <v>0.12</v>
      </c>
      <c r="L309" s="9">
        <v>36791.040000000001</v>
      </c>
      <c r="M309" s="9">
        <v>26604</v>
      </c>
      <c r="N309" s="9">
        <v>10187.040000000001</v>
      </c>
      <c r="O309">
        <f>MONTH(TblSales[[#This Row],[Date]])</f>
        <v>3</v>
      </c>
      <c r="P309" t="str">
        <f>TEXT(TblSales[[#This Row],[Date]],"mmm")</f>
        <v>Mar</v>
      </c>
      <c r="Q309">
        <f>YEAR(TblSales[[#This Row],[Date]])</f>
        <v>2025</v>
      </c>
    </row>
    <row r="310" spans="1:17">
      <c r="A310" t="s">
        <v>620</v>
      </c>
      <c r="B310" s="5" t="s">
        <v>621</v>
      </c>
      <c r="C310" t="s">
        <v>113</v>
      </c>
      <c r="D310" t="s">
        <v>17</v>
      </c>
      <c r="E310" t="s">
        <v>18</v>
      </c>
      <c r="F310" t="s">
        <v>86</v>
      </c>
      <c r="G310" t="s">
        <v>33</v>
      </c>
      <c r="H310" t="s">
        <v>56</v>
      </c>
      <c r="I310">
        <v>2</v>
      </c>
      <c r="J310">
        <v>35008</v>
      </c>
      <c r="K310">
        <v>0.1</v>
      </c>
      <c r="L310" s="9">
        <v>63014.400000000001</v>
      </c>
      <c r="M310" s="9">
        <v>44193.39</v>
      </c>
      <c r="N310" s="9">
        <v>18821.009999999998</v>
      </c>
      <c r="O310">
        <f>MONTH(TblSales[[#This Row],[Date]])</f>
        <v>1</v>
      </c>
      <c r="P310" t="str">
        <f>TEXT(TblSales[[#This Row],[Date]],"mmm")</f>
        <v>Jan</v>
      </c>
      <c r="Q310">
        <f>YEAR(TblSales[[#This Row],[Date]])</f>
        <v>2025</v>
      </c>
    </row>
    <row r="311" spans="1:17">
      <c r="A311" t="s">
        <v>622</v>
      </c>
      <c r="B311" s="5" t="s">
        <v>447</v>
      </c>
      <c r="C311" t="s">
        <v>89</v>
      </c>
      <c r="D311" t="s">
        <v>17</v>
      </c>
      <c r="E311" t="s">
        <v>48</v>
      </c>
      <c r="F311" t="s">
        <v>49</v>
      </c>
      <c r="G311" t="s">
        <v>45</v>
      </c>
      <c r="H311" t="s">
        <v>56</v>
      </c>
      <c r="I311">
        <v>3</v>
      </c>
      <c r="J311">
        <v>55706</v>
      </c>
      <c r="K311">
        <v>0.14000000000000001</v>
      </c>
      <c r="L311" s="9">
        <v>143721.48000000001</v>
      </c>
      <c r="M311" s="9">
        <v>107588.11</v>
      </c>
      <c r="N311" s="9">
        <v>36133.370000000003</v>
      </c>
      <c r="O311">
        <f>MONTH(TblSales[[#This Row],[Date]])</f>
        <v>6</v>
      </c>
      <c r="P311" t="str">
        <f>TEXT(TblSales[[#This Row],[Date]],"mmm")</f>
        <v>Jun</v>
      </c>
      <c r="Q311">
        <f>YEAR(TblSales[[#This Row],[Date]])</f>
        <v>2025</v>
      </c>
    </row>
    <row r="312" spans="1:17">
      <c r="A312" t="s">
        <v>623</v>
      </c>
      <c r="B312" s="5" t="s">
        <v>624</v>
      </c>
      <c r="C312" t="s">
        <v>89</v>
      </c>
      <c r="D312" t="s">
        <v>25</v>
      </c>
      <c r="E312" t="s">
        <v>70</v>
      </c>
      <c r="F312" t="s">
        <v>257</v>
      </c>
      <c r="G312" t="s">
        <v>45</v>
      </c>
      <c r="H312" t="s">
        <v>56</v>
      </c>
      <c r="I312">
        <v>1</v>
      </c>
      <c r="J312">
        <v>22248</v>
      </c>
      <c r="K312">
        <v>0.15</v>
      </c>
      <c r="L312" s="9">
        <v>18910.8</v>
      </c>
      <c r="M312" s="9">
        <v>15826.65</v>
      </c>
      <c r="N312" s="9">
        <v>3084.15</v>
      </c>
      <c r="O312">
        <f>MONTH(TblSales[[#This Row],[Date]])</f>
        <v>9</v>
      </c>
      <c r="P312" t="str">
        <f>TEXT(TblSales[[#This Row],[Date]],"mmm")</f>
        <v>Sep</v>
      </c>
      <c r="Q312">
        <f>YEAR(TblSales[[#This Row],[Date]])</f>
        <v>2025</v>
      </c>
    </row>
    <row r="313" spans="1:17">
      <c r="A313" t="s">
        <v>625</v>
      </c>
      <c r="B313" s="5" t="s">
        <v>439</v>
      </c>
      <c r="C313" t="s">
        <v>37</v>
      </c>
      <c r="D313" t="s">
        <v>17</v>
      </c>
      <c r="E313" t="s">
        <v>18</v>
      </c>
      <c r="F313" t="s">
        <v>298</v>
      </c>
      <c r="G313" t="s">
        <v>67</v>
      </c>
      <c r="H313" t="s">
        <v>21</v>
      </c>
      <c r="I313">
        <v>3</v>
      </c>
      <c r="J313">
        <v>33226</v>
      </c>
      <c r="K313">
        <v>0.15</v>
      </c>
      <c r="L313" s="9">
        <v>84726.3</v>
      </c>
      <c r="M313" s="9">
        <v>69965.649999999994</v>
      </c>
      <c r="N313" s="9">
        <v>14760.65</v>
      </c>
      <c r="O313">
        <f>MONTH(TblSales[[#This Row],[Date]])</f>
        <v>2</v>
      </c>
      <c r="P313" t="str">
        <f>TEXT(TblSales[[#This Row],[Date]],"mmm")</f>
        <v>Feb</v>
      </c>
      <c r="Q313">
        <f>YEAR(TblSales[[#This Row],[Date]])</f>
        <v>2025</v>
      </c>
    </row>
    <row r="314" spans="1:17">
      <c r="A314" t="s">
        <v>626</v>
      </c>
      <c r="B314" s="5" t="s">
        <v>627</v>
      </c>
      <c r="C314" t="s">
        <v>37</v>
      </c>
      <c r="D314" t="s">
        <v>25</v>
      </c>
      <c r="E314" t="s">
        <v>81</v>
      </c>
      <c r="F314" t="s">
        <v>348</v>
      </c>
      <c r="G314" t="s">
        <v>45</v>
      </c>
      <c r="H314" t="s">
        <v>21</v>
      </c>
      <c r="I314">
        <v>5</v>
      </c>
      <c r="J314">
        <v>27067</v>
      </c>
      <c r="K314">
        <v>0.1</v>
      </c>
      <c r="L314" s="9">
        <v>121801.5</v>
      </c>
      <c r="M314" s="9">
        <v>100498.91</v>
      </c>
      <c r="N314" s="9">
        <v>21302.59</v>
      </c>
      <c r="O314">
        <f>MONTH(TblSales[[#This Row],[Date]])</f>
        <v>4</v>
      </c>
      <c r="P314" t="str">
        <f>TEXT(TblSales[[#This Row],[Date]],"mmm")</f>
        <v>Apr</v>
      </c>
      <c r="Q314">
        <f>YEAR(TblSales[[#This Row],[Date]])</f>
        <v>2025</v>
      </c>
    </row>
    <row r="315" spans="1:17">
      <c r="A315" t="s">
        <v>628</v>
      </c>
      <c r="B315" s="5" t="s">
        <v>110</v>
      </c>
      <c r="C315" t="s">
        <v>24</v>
      </c>
      <c r="D315" t="s">
        <v>60</v>
      </c>
      <c r="E315" t="s">
        <v>102</v>
      </c>
      <c r="F315" t="s">
        <v>303</v>
      </c>
      <c r="G315" t="s">
        <v>40</v>
      </c>
      <c r="H315" t="s">
        <v>29</v>
      </c>
      <c r="I315">
        <v>5</v>
      </c>
      <c r="J315">
        <v>59373</v>
      </c>
      <c r="K315">
        <v>0.03</v>
      </c>
      <c r="L315" s="9">
        <v>287959.05</v>
      </c>
      <c r="M315" s="9">
        <v>233574.94</v>
      </c>
      <c r="N315" s="9">
        <v>54384.11</v>
      </c>
      <c r="O315">
        <f>MONTH(TblSales[[#This Row],[Date]])</f>
        <v>10</v>
      </c>
      <c r="P315" t="str">
        <f>TEXT(TblSales[[#This Row],[Date]],"mmm")</f>
        <v>Oct</v>
      </c>
      <c r="Q315">
        <f>YEAR(TblSales[[#This Row],[Date]])</f>
        <v>2025</v>
      </c>
    </row>
    <row r="316" spans="1:17">
      <c r="A316" t="s">
        <v>629</v>
      </c>
      <c r="B316" s="5" t="s">
        <v>231</v>
      </c>
      <c r="C316" t="s">
        <v>52</v>
      </c>
      <c r="D316" t="s">
        <v>60</v>
      </c>
      <c r="E316" t="s">
        <v>102</v>
      </c>
      <c r="F316" t="s">
        <v>389</v>
      </c>
      <c r="G316" t="s">
        <v>45</v>
      </c>
      <c r="H316" t="s">
        <v>56</v>
      </c>
      <c r="I316">
        <v>5</v>
      </c>
      <c r="J316">
        <v>27827</v>
      </c>
      <c r="K316">
        <v>0.06</v>
      </c>
      <c r="L316" s="9">
        <v>130786.9</v>
      </c>
      <c r="M316" s="9">
        <v>116850.09</v>
      </c>
      <c r="N316" s="9">
        <v>13936.81</v>
      </c>
      <c r="O316">
        <f>MONTH(TblSales[[#This Row],[Date]])</f>
        <v>1</v>
      </c>
      <c r="P316" t="str">
        <f>TEXT(TblSales[[#This Row],[Date]],"mmm")</f>
        <v>Jan</v>
      </c>
      <c r="Q316">
        <f>YEAR(TblSales[[#This Row],[Date]])</f>
        <v>2025</v>
      </c>
    </row>
    <row r="317" spans="1:17">
      <c r="A317" t="s">
        <v>630</v>
      </c>
      <c r="B317" s="5" t="s">
        <v>252</v>
      </c>
      <c r="C317" t="s">
        <v>37</v>
      </c>
      <c r="D317" t="s">
        <v>53</v>
      </c>
      <c r="E317" t="s">
        <v>140</v>
      </c>
      <c r="F317" t="s">
        <v>187</v>
      </c>
      <c r="G317" t="s">
        <v>33</v>
      </c>
      <c r="H317" t="s">
        <v>29</v>
      </c>
      <c r="I317">
        <v>3</v>
      </c>
      <c r="J317">
        <v>52102</v>
      </c>
      <c r="K317">
        <v>0.13</v>
      </c>
      <c r="L317" s="9">
        <v>135986.22</v>
      </c>
      <c r="M317" s="9">
        <v>100835.79</v>
      </c>
      <c r="N317" s="9">
        <v>35150.43</v>
      </c>
      <c r="O317">
        <f>MONTH(TblSales[[#This Row],[Date]])</f>
        <v>1</v>
      </c>
      <c r="P317" t="str">
        <f>TEXT(TblSales[[#This Row],[Date]],"mmm")</f>
        <v>Jan</v>
      </c>
      <c r="Q317">
        <f>YEAR(TblSales[[#This Row],[Date]])</f>
        <v>2025</v>
      </c>
    </row>
    <row r="318" spans="1:17">
      <c r="A318" t="s">
        <v>631</v>
      </c>
      <c r="B318" s="5" t="s">
        <v>632</v>
      </c>
      <c r="C318" t="s">
        <v>32</v>
      </c>
      <c r="D318" t="s">
        <v>60</v>
      </c>
      <c r="E318" t="s">
        <v>65</v>
      </c>
      <c r="F318" t="s">
        <v>134</v>
      </c>
      <c r="G318" t="s">
        <v>20</v>
      </c>
      <c r="H318" t="s">
        <v>21</v>
      </c>
      <c r="I318">
        <v>2</v>
      </c>
      <c r="J318">
        <v>2632</v>
      </c>
      <c r="K318">
        <v>7.0000000000000007E-2</v>
      </c>
      <c r="L318" s="9">
        <v>4895.5200000000004</v>
      </c>
      <c r="M318" s="9">
        <v>3500.46</v>
      </c>
      <c r="N318" s="9">
        <v>1395.06</v>
      </c>
      <c r="O318">
        <f>MONTH(TblSales[[#This Row],[Date]])</f>
        <v>8</v>
      </c>
      <c r="P318" t="str">
        <f>TEXT(TblSales[[#This Row],[Date]],"mmm")</f>
        <v>Aug</v>
      </c>
      <c r="Q318">
        <f>YEAR(TblSales[[#This Row],[Date]])</f>
        <v>2025</v>
      </c>
    </row>
    <row r="319" spans="1:17">
      <c r="A319" t="s">
        <v>633</v>
      </c>
      <c r="B319" s="5" t="s">
        <v>300</v>
      </c>
      <c r="C319" t="s">
        <v>32</v>
      </c>
      <c r="D319" t="s">
        <v>60</v>
      </c>
      <c r="E319" t="s">
        <v>65</v>
      </c>
      <c r="F319" t="s">
        <v>66</v>
      </c>
      <c r="G319" t="s">
        <v>28</v>
      </c>
      <c r="H319" t="s">
        <v>34</v>
      </c>
      <c r="I319">
        <v>2</v>
      </c>
      <c r="J319">
        <v>46066</v>
      </c>
      <c r="K319">
        <v>0.11</v>
      </c>
      <c r="L319" s="9">
        <v>81997.48</v>
      </c>
      <c r="M319" s="9">
        <v>72985.05</v>
      </c>
      <c r="N319" s="9">
        <v>9012.43</v>
      </c>
      <c r="O319">
        <f>MONTH(TblSales[[#This Row],[Date]])</f>
        <v>5</v>
      </c>
      <c r="P319" t="str">
        <f>TEXT(TblSales[[#This Row],[Date]],"mmm")</f>
        <v>May</v>
      </c>
      <c r="Q319">
        <f>YEAR(TblSales[[#This Row],[Date]])</f>
        <v>2025</v>
      </c>
    </row>
    <row r="320" spans="1:17">
      <c r="A320" t="s">
        <v>634</v>
      </c>
      <c r="B320" s="5" t="s">
        <v>84</v>
      </c>
      <c r="C320" t="s">
        <v>59</v>
      </c>
      <c r="D320" t="s">
        <v>25</v>
      </c>
      <c r="E320" t="s">
        <v>70</v>
      </c>
      <c r="F320" t="s">
        <v>320</v>
      </c>
      <c r="G320" t="s">
        <v>67</v>
      </c>
      <c r="H320" t="s">
        <v>56</v>
      </c>
      <c r="I320">
        <v>1</v>
      </c>
      <c r="J320">
        <v>26431</v>
      </c>
      <c r="K320">
        <v>0.03</v>
      </c>
      <c r="L320" s="9">
        <v>25638.07</v>
      </c>
      <c r="M320" s="9">
        <v>21391.49</v>
      </c>
      <c r="N320" s="9">
        <v>4246.58</v>
      </c>
      <c r="O320">
        <f>MONTH(TblSales[[#This Row],[Date]])</f>
        <v>9</v>
      </c>
      <c r="P320" t="str">
        <f>TEXT(TblSales[[#This Row],[Date]],"mmm")</f>
        <v>Sep</v>
      </c>
      <c r="Q320">
        <f>YEAR(TblSales[[#This Row],[Date]])</f>
        <v>2025</v>
      </c>
    </row>
    <row r="321" spans="1:17">
      <c r="A321" t="s">
        <v>635</v>
      </c>
      <c r="B321" s="5" t="s">
        <v>636</v>
      </c>
      <c r="C321" t="s">
        <v>59</v>
      </c>
      <c r="D321" t="s">
        <v>53</v>
      </c>
      <c r="E321" t="s">
        <v>148</v>
      </c>
      <c r="F321" t="s">
        <v>242</v>
      </c>
      <c r="G321" t="s">
        <v>108</v>
      </c>
      <c r="H321" t="s">
        <v>21</v>
      </c>
      <c r="I321">
        <v>5</v>
      </c>
      <c r="J321">
        <v>45036</v>
      </c>
      <c r="K321">
        <v>0.09</v>
      </c>
      <c r="L321" s="9">
        <v>204913.8</v>
      </c>
      <c r="M321" s="9">
        <v>177341.12</v>
      </c>
      <c r="N321" s="9">
        <v>27572.68</v>
      </c>
      <c r="O321">
        <f>MONTH(TblSales[[#This Row],[Date]])</f>
        <v>9</v>
      </c>
      <c r="P321" t="str">
        <f>TEXT(TblSales[[#This Row],[Date]],"mmm")</f>
        <v>Sep</v>
      </c>
      <c r="Q321">
        <f>YEAR(TblSales[[#This Row],[Date]])</f>
        <v>2025</v>
      </c>
    </row>
    <row r="322" spans="1:17">
      <c r="A322" t="s">
        <v>637</v>
      </c>
      <c r="B322" s="5" t="s">
        <v>638</v>
      </c>
      <c r="C322" t="s">
        <v>32</v>
      </c>
      <c r="D322" t="s">
        <v>25</v>
      </c>
      <c r="E322" t="s">
        <v>70</v>
      </c>
      <c r="F322" t="s">
        <v>320</v>
      </c>
      <c r="G322" t="s">
        <v>67</v>
      </c>
      <c r="H322" t="s">
        <v>56</v>
      </c>
      <c r="I322">
        <v>5</v>
      </c>
      <c r="J322">
        <v>1871</v>
      </c>
      <c r="K322">
        <v>0.03</v>
      </c>
      <c r="L322" s="9">
        <v>9074.35</v>
      </c>
      <c r="M322" s="9">
        <v>7027.59</v>
      </c>
      <c r="N322" s="9">
        <v>2046.76</v>
      </c>
      <c r="O322">
        <f>MONTH(TblSales[[#This Row],[Date]])</f>
        <v>9</v>
      </c>
      <c r="P322" t="str">
        <f>TEXT(TblSales[[#This Row],[Date]],"mmm")</f>
        <v>Sep</v>
      </c>
      <c r="Q322">
        <f>YEAR(TblSales[[#This Row],[Date]])</f>
        <v>2025</v>
      </c>
    </row>
    <row r="323" spans="1:17">
      <c r="A323" t="s">
        <v>639</v>
      </c>
      <c r="B323" s="5" t="s">
        <v>640</v>
      </c>
      <c r="C323" t="s">
        <v>16</v>
      </c>
      <c r="D323" t="s">
        <v>25</v>
      </c>
      <c r="E323" t="s">
        <v>26</v>
      </c>
      <c r="F323" t="s">
        <v>562</v>
      </c>
      <c r="G323" t="s">
        <v>67</v>
      </c>
      <c r="H323" t="s">
        <v>34</v>
      </c>
      <c r="I323">
        <v>3</v>
      </c>
      <c r="J323">
        <v>30757</v>
      </c>
      <c r="K323">
        <v>0.1</v>
      </c>
      <c r="L323" s="9">
        <v>83043.899999999994</v>
      </c>
      <c r="M323" s="9">
        <v>74172.320000000007</v>
      </c>
      <c r="N323" s="9">
        <v>8871.58</v>
      </c>
      <c r="O323">
        <f>MONTH(TblSales[[#This Row],[Date]])</f>
        <v>7</v>
      </c>
      <c r="P323" t="str">
        <f>TEXT(TblSales[[#This Row],[Date]],"mmm")</f>
        <v>Jul</v>
      </c>
      <c r="Q323">
        <f>YEAR(TblSales[[#This Row],[Date]])</f>
        <v>2025</v>
      </c>
    </row>
    <row r="324" spans="1:17">
      <c r="A324" t="s">
        <v>641</v>
      </c>
      <c r="B324" s="5" t="s">
        <v>358</v>
      </c>
      <c r="C324" t="s">
        <v>98</v>
      </c>
      <c r="D324" t="s">
        <v>25</v>
      </c>
      <c r="E324" t="s">
        <v>43</v>
      </c>
      <c r="F324" t="s">
        <v>44</v>
      </c>
      <c r="G324" t="s">
        <v>119</v>
      </c>
      <c r="H324" t="s">
        <v>21</v>
      </c>
      <c r="I324">
        <v>3</v>
      </c>
      <c r="J324">
        <v>52308</v>
      </c>
      <c r="K324">
        <v>0.08</v>
      </c>
      <c r="L324" s="9">
        <v>144370.07999999999</v>
      </c>
      <c r="M324" s="9">
        <v>119031.19</v>
      </c>
      <c r="N324" s="9">
        <v>25338.89</v>
      </c>
      <c r="O324">
        <f>MONTH(TblSales[[#This Row],[Date]])</f>
        <v>9</v>
      </c>
      <c r="P324" t="str">
        <f>TEXT(TblSales[[#This Row],[Date]],"mmm")</f>
        <v>Sep</v>
      </c>
      <c r="Q324">
        <f>YEAR(TblSales[[#This Row],[Date]])</f>
        <v>2025</v>
      </c>
    </row>
    <row r="325" spans="1:17">
      <c r="A325" t="s">
        <v>642</v>
      </c>
      <c r="B325" s="5" t="s">
        <v>36</v>
      </c>
      <c r="C325" t="s">
        <v>113</v>
      </c>
      <c r="D325" t="s">
        <v>25</v>
      </c>
      <c r="E325" t="s">
        <v>26</v>
      </c>
      <c r="F325" t="s">
        <v>562</v>
      </c>
      <c r="G325" t="s">
        <v>20</v>
      </c>
      <c r="H325" t="s">
        <v>29</v>
      </c>
      <c r="I325">
        <v>5</v>
      </c>
      <c r="J325">
        <v>2878</v>
      </c>
      <c r="K325">
        <v>0.12</v>
      </c>
      <c r="L325" s="9">
        <v>12663.2</v>
      </c>
      <c r="M325" s="9">
        <v>9480.49</v>
      </c>
      <c r="N325" s="9">
        <v>3182.71</v>
      </c>
      <c r="O325">
        <f>MONTH(TblSales[[#This Row],[Date]])</f>
        <v>2</v>
      </c>
      <c r="P325" t="str">
        <f>TEXT(TblSales[[#This Row],[Date]],"mmm")</f>
        <v>Feb</v>
      </c>
      <c r="Q325">
        <f>YEAR(TblSales[[#This Row],[Date]])</f>
        <v>2025</v>
      </c>
    </row>
    <row r="326" spans="1:17">
      <c r="A326" t="s">
        <v>643</v>
      </c>
      <c r="B326" s="5" t="s">
        <v>305</v>
      </c>
      <c r="C326" t="s">
        <v>89</v>
      </c>
      <c r="D326" t="s">
        <v>53</v>
      </c>
      <c r="E326" t="s">
        <v>148</v>
      </c>
      <c r="F326" t="s">
        <v>534</v>
      </c>
      <c r="G326" t="s">
        <v>40</v>
      </c>
      <c r="H326" t="s">
        <v>29</v>
      </c>
      <c r="I326">
        <v>1</v>
      </c>
      <c r="J326">
        <v>51483</v>
      </c>
      <c r="K326">
        <v>0.14000000000000001</v>
      </c>
      <c r="L326" s="9">
        <v>44275.38</v>
      </c>
      <c r="M326" s="9">
        <v>39674.879999999997</v>
      </c>
      <c r="N326" s="9">
        <v>4600.5</v>
      </c>
      <c r="O326">
        <f>MONTH(TblSales[[#This Row],[Date]])</f>
        <v>3</v>
      </c>
      <c r="P326" t="str">
        <f>TEXT(TblSales[[#This Row],[Date]],"mmm")</f>
        <v>Mar</v>
      </c>
      <c r="Q326">
        <f>YEAR(TblSales[[#This Row],[Date]])</f>
        <v>2025</v>
      </c>
    </row>
    <row r="327" spans="1:17">
      <c r="A327" t="s">
        <v>644</v>
      </c>
      <c r="B327" s="5" t="s">
        <v>429</v>
      </c>
      <c r="C327" t="s">
        <v>37</v>
      </c>
      <c r="D327" t="s">
        <v>53</v>
      </c>
      <c r="E327" t="s">
        <v>140</v>
      </c>
      <c r="F327" t="s">
        <v>217</v>
      </c>
      <c r="G327" t="s">
        <v>28</v>
      </c>
      <c r="H327" t="s">
        <v>56</v>
      </c>
      <c r="I327">
        <v>2</v>
      </c>
      <c r="J327">
        <v>58196</v>
      </c>
      <c r="K327">
        <v>0.06</v>
      </c>
      <c r="L327" s="9">
        <v>109408.48</v>
      </c>
      <c r="M327" s="9">
        <v>79215.87</v>
      </c>
      <c r="N327" s="9">
        <v>30192.61</v>
      </c>
      <c r="O327">
        <f>MONTH(TblSales[[#This Row],[Date]])</f>
        <v>3</v>
      </c>
      <c r="P327" t="str">
        <f>TEXT(TblSales[[#This Row],[Date]],"mmm")</f>
        <v>Mar</v>
      </c>
      <c r="Q327">
        <f>YEAR(TblSales[[#This Row],[Date]])</f>
        <v>2025</v>
      </c>
    </row>
    <row r="328" spans="1:17">
      <c r="A328" t="s">
        <v>645</v>
      </c>
      <c r="B328" s="5" t="s">
        <v>197</v>
      </c>
      <c r="C328" t="s">
        <v>59</v>
      </c>
      <c r="D328" t="s">
        <v>17</v>
      </c>
      <c r="E328" t="s">
        <v>38</v>
      </c>
      <c r="F328" t="s">
        <v>205</v>
      </c>
      <c r="G328" t="s">
        <v>28</v>
      </c>
      <c r="H328" t="s">
        <v>29</v>
      </c>
      <c r="I328">
        <v>2</v>
      </c>
      <c r="J328">
        <v>43025</v>
      </c>
      <c r="K328">
        <v>0.05</v>
      </c>
      <c r="L328" s="9">
        <v>81747.5</v>
      </c>
      <c r="M328" s="9">
        <v>69824.759999999995</v>
      </c>
      <c r="N328" s="9">
        <v>11922.74</v>
      </c>
      <c r="O328">
        <f>MONTH(TblSales[[#This Row],[Date]])</f>
        <v>9</v>
      </c>
      <c r="P328" t="str">
        <f>TEXT(TblSales[[#This Row],[Date]],"mmm")</f>
        <v>Sep</v>
      </c>
      <c r="Q328">
        <f>YEAR(TblSales[[#This Row],[Date]])</f>
        <v>2025</v>
      </c>
    </row>
    <row r="329" spans="1:17">
      <c r="A329" t="s">
        <v>646</v>
      </c>
      <c r="B329" s="5" t="s">
        <v>123</v>
      </c>
      <c r="C329" t="s">
        <v>59</v>
      </c>
      <c r="D329" t="s">
        <v>60</v>
      </c>
      <c r="E329" t="s">
        <v>106</v>
      </c>
      <c r="F329" t="s">
        <v>441</v>
      </c>
      <c r="G329" t="s">
        <v>67</v>
      </c>
      <c r="H329" t="s">
        <v>29</v>
      </c>
      <c r="I329">
        <v>5</v>
      </c>
      <c r="J329">
        <v>5643</v>
      </c>
      <c r="K329">
        <v>7.0000000000000007E-2</v>
      </c>
      <c r="L329" s="9">
        <v>26239.95</v>
      </c>
      <c r="M329" s="9">
        <v>18552.060000000001</v>
      </c>
      <c r="N329" s="9">
        <v>7687.89</v>
      </c>
      <c r="O329">
        <f>MONTH(TblSales[[#This Row],[Date]])</f>
        <v>7</v>
      </c>
      <c r="P329" t="str">
        <f>TEXT(TblSales[[#This Row],[Date]],"mmm")</f>
        <v>Jul</v>
      </c>
      <c r="Q329">
        <f>YEAR(TblSales[[#This Row],[Date]])</f>
        <v>2025</v>
      </c>
    </row>
    <row r="330" spans="1:17">
      <c r="A330" t="s">
        <v>647</v>
      </c>
      <c r="B330" s="5" t="s">
        <v>73</v>
      </c>
      <c r="C330" t="s">
        <v>89</v>
      </c>
      <c r="D330" t="s">
        <v>25</v>
      </c>
      <c r="E330" t="s">
        <v>70</v>
      </c>
      <c r="F330" t="s">
        <v>257</v>
      </c>
      <c r="G330" t="s">
        <v>20</v>
      </c>
      <c r="H330" t="s">
        <v>29</v>
      </c>
      <c r="I330">
        <v>1</v>
      </c>
      <c r="J330">
        <v>25968</v>
      </c>
      <c r="K330">
        <v>0.05</v>
      </c>
      <c r="L330" s="9">
        <v>24669.599999999999</v>
      </c>
      <c r="M330" s="9">
        <v>21288.17</v>
      </c>
      <c r="N330" s="9">
        <v>3381.43</v>
      </c>
      <c r="O330">
        <f>MONTH(TblSales[[#This Row],[Date]])</f>
        <v>4</v>
      </c>
      <c r="P330" t="str">
        <f>TEXT(TblSales[[#This Row],[Date]],"mmm")</f>
        <v>Apr</v>
      </c>
      <c r="Q330">
        <f>YEAR(TblSales[[#This Row],[Date]])</f>
        <v>2025</v>
      </c>
    </row>
    <row r="331" spans="1:17">
      <c r="A331" t="s">
        <v>648</v>
      </c>
      <c r="B331" s="5" t="s">
        <v>227</v>
      </c>
      <c r="C331" t="s">
        <v>59</v>
      </c>
      <c r="D331" t="s">
        <v>17</v>
      </c>
      <c r="E331" t="s">
        <v>74</v>
      </c>
      <c r="F331" t="s">
        <v>75</v>
      </c>
      <c r="G331" t="s">
        <v>108</v>
      </c>
      <c r="H331" t="s">
        <v>21</v>
      </c>
      <c r="I331">
        <v>4</v>
      </c>
      <c r="J331">
        <v>7582</v>
      </c>
      <c r="K331">
        <v>0.05</v>
      </c>
      <c r="L331" s="9">
        <v>28811.599999999999</v>
      </c>
      <c r="M331" s="9">
        <v>20374.3</v>
      </c>
      <c r="N331" s="9">
        <v>8437.2999999999993</v>
      </c>
      <c r="O331">
        <f>MONTH(TblSales[[#This Row],[Date]])</f>
        <v>8</v>
      </c>
      <c r="P331" t="str">
        <f>TEXT(TblSales[[#This Row],[Date]],"mmm")</f>
        <v>Aug</v>
      </c>
      <c r="Q331">
        <f>YEAR(TblSales[[#This Row],[Date]])</f>
        <v>2025</v>
      </c>
    </row>
    <row r="332" spans="1:17">
      <c r="A332" t="s">
        <v>649</v>
      </c>
      <c r="B332" s="5" t="s">
        <v>583</v>
      </c>
      <c r="C332" t="s">
        <v>24</v>
      </c>
      <c r="D332" t="s">
        <v>25</v>
      </c>
      <c r="E332" t="s">
        <v>26</v>
      </c>
      <c r="F332" t="s">
        <v>27</v>
      </c>
      <c r="G332" t="s">
        <v>119</v>
      </c>
      <c r="H332" t="s">
        <v>29</v>
      </c>
      <c r="I332">
        <v>4</v>
      </c>
      <c r="J332">
        <v>44177</v>
      </c>
      <c r="K332">
        <v>0.13</v>
      </c>
      <c r="L332" s="9">
        <v>153735.96</v>
      </c>
      <c r="M332" s="9">
        <v>112326.78</v>
      </c>
      <c r="N332" s="9">
        <v>41409.18</v>
      </c>
      <c r="O332">
        <f>MONTH(TblSales[[#This Row],[Date]])</f>
        <v>10</v>
      </c>
      <c r="P332" t="str">
        <f>TEXT(TblSales[[#This Row],[Date]],"mmm")</f>
        <v>Oct</v>
      </c>
      <c r="Q332">
        <f>YEAR(TblSales[[#This Row],[Date]])</f>
        <v>2025</v>
      </c>
    </row>
    <row r="333" spans="1:17">
      <c r="A333" t="s">
        <v>650</v>
      </c>
      <c r="B333" s="5" t="s">
        <v>527</v>
      </c>
      <c r="C333" t="s">
        <v>37</v>
      </c>
      <c r="D333" t="s">
        <v>25</v>
      </c>
      <c r="E333" t="s">
        <v>43</v>
      </c>
      <c r="F333" t="s">
        <v>220</v>
      </c>
      <c r="G333" t="s">
        <v>33</v>
      </c>
      <c r="H333" t="s">
        <v>29</v>
      </c>
      <c r="I333">
        <v>2</v>
      </c>
      <c r="J333">
        <v>2525</v>
      </c>
      <c r="K333">
        <v>0.08</v>
      </c>
      <c r="L333" s="9">
        <v>4646</v>
      </c>
      <c r="M333" s="9">
        <v>4014.05</v>
      </c>
      <c r="N333" s="9">
        <v>631.95000000000005</v>
      </c>
      <c r="O333">
        <f>MONTH(TblSales[[#This Row],[Date]])</f>
        <v>3</v>
      </c>
      <c r="P333" t="str">
        <f>TEXT(TblSales[[#This Row],[Date]],"mmm")</f>
        <v>Mar</v>
      </c>
      <c r="Q333">
        <f>YEAR(TblSales[[#This Row],[Date]])</f>
        <v>2025</v>
      </c>
    </row>
    <row r="334" spans="1:17">
      <c r="A334" t="s">
        <v>651</v>
      </c>
      <c r="B334" s="5" t="s">
        <v>652</v>
      </c>
      <c r="C334" t="s">
        <v>37</v>
      </c>
      <c r="D334" t="s">
        <v>17</v>
      </c>
      <c r="E334" t="s">
        <v>48</v>
      </c>
      <c r="F334" t="s">
        <v>579</v>
      </c>
      <c r="G334" t="s">
        <v>20</v>
      </c>
      <c r="H334" t="s">
        <v>34</v>
      </c>
      <c r="I334">
        <v>3</v>
      </c>
      <c r="J334">
        <v>23769</v>
      </c>
      <c r="K334">
        <v>0.05</v>
      </c>
      <c r="L334" s="9">
        <v>67741.649999999994</v>
      </c>
      <c r="M334" s="9">
        <v>50536.72</v>
      </c>
      <c r="N334" s="9">
        <v>17204.93</v>
      </c>
      <c r="O334">
        <f>MONTH(TblSales[[#This Row],[Date]])</f>
        <v>6</v>
      </c>
      <c r="P334" t="str">
        <f>TEXT(TblSales[[#This Row],[Date]],"mmm")</f>
        <v>Jun</v>
      </c>
      <c r="Q334">
        <f>YEAR(TblSales[[#This Row],[Date]])</f>
        <v>2025</v>
      </c>
    </row>
    <row r="335" spans="1:17">
      <c r="A335" t="s">
        <v>653</v>
      </c>
      <c r="B335" s="5" t="s">
        <v>525</v>
      </c>
      <c r="C335" t="s">
        <v>52</v>
      </c>
      <c r="D335" t="s">
        <v>25</v>
      </c>
      <c r="E335" t="s">
        <v>81</v>
      </c>
      <c r="F335" t="s">
        <v>82</v>
      </c>
      <c r="G335" t="s">
        <v>45</v>
      </c>
      <c r="H335" t="s">
        <v>29</v>
      </c>
      <c r="I335">
        <v>5</v>
      </c>
      <c r="J335">
        <v>8066</v>
      </c>
      <c r="K335">
        <v>0.02</v>
      </c>
      <c r="L335" s="9">
        <v>39523.4</v>
      </c>
      <c r="M335" s="9">
        <v>29871.82</v>
      </c>
      <c r="N335" s="9">
        <v>9651.58</v>
      </c>
      <c r="O335">
        <f>MONTH(TblSales[[#This Row],[Date]])</f>
        <v>8</v>
      </c>
      <c r="P335" t="str">
        <f>TEXT(TblSales[[#This Row],[Date]],"mmm")</f>
        <v>Aug</v>
      </c>
      <c r="Q335">
        <f>YEAR(TblSales[[#This Row],[Date]])</f>
        <v>2025</v>
      </c>
    </row>
    <row r="336" spans="1:17">
      <c r="A336" t="s">
        <v>654</v>
      </c>
      <c r="B336" s="5" t="s">
        <v>418</v>
      </c>
      <c r="C336" t="s">
        <v>24</v>
      </c>
      <c r="D336" t="s">
        <v>53</v>
      </c>
      <c r="E336" t="s">
        <v>127</v>
      </c>
      <c r="F336" t="s">
        <v>131</v>
      </c>
      <c r="G336" t="s">
        <v>67</v>
      </c>
      <c r="H336" t="s">
        <v>29</v>
      </c>
      <c r="I336">
        <v>5</v>
      </c>
      <c r="J336">
        <v>51031</v>
      </c>
      <c r="K336">
        <v>0.02</v>
      </c>
      <c r="L336" s="9">
        <v>250051.9</v>
      </c>
      <c r="M336" s="9">
        <v>200386.56</v>
      </c>
      <c r="N336" s="9">
        <v>49665.34</v>
      </c>
      <c r="O336">
        <f>MONTH(TblSales[[#This Row],[Date]])</f>
        <v>7</v>
      </c>
      <c r="P336" t="str">
        <f>TEXT(TblSales[[#This Row],[Date]],"mmm")</f>
        <v>Jul</v>
      </c>
      <c r="Q336">
        <f>YEAR(TblSales[[#This Row],[Date]])</f>
        <v>2025</v>
      </c>
    </row>
    <row r="337" spans="1:17">
      <c r="A337" t="s">
        <v>655</v>
      </c>
      <c r="B337" s="5" t="s">
        <v>656</v>
      </c>
      <c r="C337" t="s">
        <v>89</v>
      </c>
      <c r="D337" t="s">
        <v>60</v>
      </c>
      <c r="E337" t="s">
        <v>106</v>
      </c>
      <c r="F337" t="s">
        <v>209</v>
      </c>
      <c r="G337" t="s">
        <v>33</v>
      </c>
      <c r="H337" t="s">
        <v>56</v>
      </c>
      <c r="I337">
        <v>2</v>
      </c>
      <c r="J337">
        <v>34870</v>
      </c>
      <c r="K337">
        <v>0.08</v>
      </c>
      <c r="L337" s="9">
        <v>64160.800000000003</v>
      </c>
      <c r="M337" s="9">
        <v>50882.23</v>
      </c>
      <c r="N337" s="9">
        <v>13278.57</v>
      </c>
      <c r="O337">
        <f>MONTH(TblSales[[#This Row],[Date]])</f>
        <v>10</v>
      </c>
      <c r="P337" t="str">
        <f>TEXT(TblSales[[#This Row],[Date]],"mmm")</f>
        <v>Oct</v>
      </c>
      <c r="Q337">
        <f>YEAR(TblSales[[#This Row],[Date]])</f>
        <v>2025</v>
      </c>
    </row>
    <row r="338" spans="1:17">
      <c r="A338" t="s">
        <v>657</v>
      </c>
      <c r="B338" s="5" t="s">
        <v>213</v>
      </c>
      <c r="C338" t="s">
        <v>113</v>
      </c>
      <c r="D338" t="s">
        <v>25</v>
      </c>
      <c r="E338" t="s">
        <v>70</v>
      </c>
      <c r="F338" t="s">
        <v>257</v>
      </c>
      <c r="G338" t="s">
        <v>67</v>
      </c>
      <c r="H338" t="s">
        <v>56</v>
      </c>
      <c r="I338">
        <v>1</v>
      </c>
      <c r="J338">
        <v>26368</v>
      </c>
      <c r="K338">
        <v>0.11</v>
      </c>
      <c r="L338" s="9">
        <v>23467.52</v>
      </c>
      <c r="M338" s="9">
        <v>16827.47</v>
      </c>
      <c r="N338" s="9">
        <v>6640.05</v>
      </c>
      <c r="O338">
        <f>MONTH(TblSales[[#This Row],[Date]])</f>
        <v>6</v>
      </c>
      <c r="P338" t="str">
        <f>TEXT(TblSales[[#This Row],[Date]],"mmm")</f>
        <v>Jun</v>
      </c>
      <c r="Q338">
        <f>YEAR(TblSales[[#This Row],[Date]])</f>
        <v>2025</v>
      </c>
    </row>
    <row r="339" spans="1:17">
      <c r="A339" t="s">
        <v>658</v>
      </c>
      <c r="B339" s="5" t="s">
        <v>602</v>
      </c>
      <c r="C339" t="s">
        <v>24</v>
      </c>
      <c r="D339" t="s">
        <v>60</v>
      </c>
      <c r="E339" t="s">
        <v>102</v>
      </c>
      <c r="F339" t="s">
        <v>493</v>
      </c>
      <c r="G339" t="s">
        <v>28</v>
      </c>
      <c r="H339" t="s">
        <v>21</v>
      </c>
      <c r="I339">
        <v>3</v>
      </c>
      <c r="J339">
        <v>53606</v>
      </c>
      <c r="K339">
        <v>0.14000000000000001</v>
      </c>
      <c r="L339" s="9">
        <v>138303.48000000001</v>
      </c>
      <c r="M339" s="9">
        <v>98513.31</v>
      </c>
      <c r="N339" s="9">
        <v>39790.17</v>
      </c>
      <c r="O339">
        <f>MONTH(TblSales[[#This Row],[Date]])</f>
        <v>8</v>
      </c>
      <c r="P339" t="str">
        <f>TEXT(TblSales[[#This Row],[Date]],"mmm")</f>
        <v>Aug</v>
      </c>
      <c r="Q339">
        <f>YEAR(TblSales[[#This Row],[Date]])</f>
        <v>2025</v>
      </c>
    </row>
    <row r="340" spans="1:17">
      <c r="A340" t="s">
        <v>659</v>
      </c>
      <c r="B340" s="5" t="s">
        <v>429</v>
      </c>
      <c r="C340" t="s">
        <v>37</v>
      </c>
      <c r="D340" t="s">
        <v>17</v>
      </c>
      <c r="E340" t="s">
        <v>74</v>
      </c>
      <c r="F340" t="s">
        <v>368</v>
      </c>
      <c r="G340" t="s">
        <v>119</v>
      </c>
      <c r="H340" t="s">
        <v>34</v>
      </c>
      <c r="I340">
        <v>3</v>
      </c>
      <c r="J340">
        <v>37916</v>
      </c>
      <c r="K340">
        <v>0.03</v>
      </c>
      <c r="L340" s="9">
        <v>110335.56</v>
      </c>
      <c r="M340" s="9">
        <v>87032.49</v>
      </c>
      <c r="N340" s="9">
        <v>23303.07</v>
      </c>
      <c r="O340">
        <f>MONTH(TblSales[[#This Row],[Date]])</f>
        <v>3</v>
      </c>
      <c r="P340" t="str">
        <f>TEXT(TblSales[[#This Row],[Date]],"mmm")</f>
        <v>Mar</v>
      </c>
      <c r="Q340">
        <f>YEAR(TblSales[[#This Row],[Date]])</f>
        <v>2025</v>
      </c>
    </row>
    <row r="341" spans="1:17">
      <c r="A341" t="s">
        <v>660</v>
      </c>
      <c r="B341" s="5" t="s">
        <v>572</v>
      </c>
      <c r="C341" t="s">
        <v>52</v>
      </c>
      <c r="D341" t="s">
        <v>53</v>
      </c>
      <c r="E341" t="s">
        <v>148</v>
      </c>
      <c r="F341" t="s">
        <v>534</v>
      </c>
      <c r="G341" t="s">
        <v>28</v>
      </c>
      <c r="H341" t="s">
        <v>56</v>
      </c>
      <c r="I341">
        <v>4</v>
      </c>
      <c r="J341">
        <v>43147</v>
      </c>
      <c r="K341">
        <v>0.05</v>
      </c>
      <c r="L341" s="9">
        <v>163958.6</v>
      </c>
      <c r="M341" s="9">
        <v>132648.22</v>
      </c>
      <c r="N341" s="9">
        <v>31310.38</v>
      </c>
      <c r="O341">
        <f>MONTH(TblSales[[#This Row],[Date]])</f>
        <v>4</v>
      </c>
      <c r="P341" t="str">
        <f>TEXT(TblSales[[#This Row],[Date]],"mmm")</f>
        <v>Apr</v>
      </c>
      <c r="Q341">
        <f>YEAR(TblSales[[#This Row],[Date]])</f>
        <v>2025</v>
      </c>
    </row>
    <row r="342" spans="1:17">
      <c r="A342" t="s">
        <v>661</v>
      </c>
      <c r="B342" s="5" t="s">
        <v>418</v>
      </c>
      <c r="C342" t="s">
        <v>32</v>
      </c>
      <c r="D342" t="s">
        <v>53</v>
      </c>
      <c r="E342" t="s">
        <v>54</v>
      </c>
      <c r="F342" t="s">
        <v>55</v>
      </c>
      <c r="G342" t="s">
        <v>33</v>
      </c>
      <c r="H342" t="s">
        <v>34</v>
      </c>
      <c r="I342">
        <v>1</v>
      </c>
      <c r="J342">
        <v>58314</v>
      </c>
      <c r="K342">
        <v>0.05</v>
      </c>
      <c r="L342" s="9">
        <v>55398.3</v>
      </c>
      <c r="M342" s="9">
        <v>42749.09</v>
      </c>
      <c r="N342" s="9">
        <v>12649.21</v>
      </c>
      <c r="O342">
        <f>MONTH(TblSales[[#This Row],[Date]])</f>
        <v>7</v>
      </c>
      <c r="P342" t="str">
        <f>TEXT(TblSales[[#This Row],[Date]],"mmm")</f>
        <v>Jul</v>
      </c>
      <c r="Q342">
        <f>YEAR(TblSales[[#This Row],[Date]])</f>
        <v>2025</v>
      </c>
    </row>
    <row r="343" spans="1:17">
      <c r="A343" t="s">
        <v>662</v>
      </c>
      <c r="B343" s="5" t="s">
        <v>397</v>
      </c>
      <c r="C343" t="s">
        <v>37</v>
      </c>
      <c r="D343" t="s">
        <v>53</v>
      </c>
      <c r="E343" t="s">
        <v>54</v>
      </c>
      <c r="F343" t="s">
        <v>116</v>
      </c>
      <c r="G343" t="s">
        <v>45</v>
      </c>
      <c r="H343" t="s">
        <v>56</v>
      </c>
      <c r="I343">
        <v>1</v>
      </c>
      <c r="J343">
        <v>45630</v>
      </c>
      <c r="K343">
        <v>0.02</v>
      </c>
      <c r="L343" s="9">
        <v>44717.4</v>
      </c>
      <c r="M343" s="9">
        <v>33543.97</v>
      </c>
      <c r="N343" s="9">
        <v>11173.43</v>
      </c>
      <c r="O343">
        <f>MONTH(TblSales[[#This Row],[Date]])</f>
        <v>6</v>
      </c>
      <c r="P343" t="str">
        <f>TEXT(TblSales[[#This Row],[Date]],"mmm")</f>
        <v>Jun</v>
      </c>
      <c r="Q343">
        <f>YEAR(TblSales[[#This Row],[Date]])</f>
        <v>2025</v>
      </c>
    </row>
    <row r="344" spans="1:17">
      <c r="A344" t="s">
        <v>663</v>
      </c>
      <c r="B344" s="5" t="s">
        <v>664</v>
      </c>
      <c r="C344" t="s">
        <v>24</v>
      </c>
      <c r="D344" t="s">
        <v>25</v>
      </c>
      <c r="E344" t="s">
        <v>26</v>
      </c>
      <c r="F344" t="s">
        <v>179</v>
      </c>
      <c r="G344" t="s">
        <v>45</v>
      </c>
      <c r="H344" t="s">
        <v>29</v>
      </c>
      <c r="I344">
        <v>1</v>
      </c>
      <c r="J344">
        <v>48153</v>
      </c>
      <c r="K344">
        <v>0.14000000000000001</v>
      </c>
      <c r="L344" s="9">
        <v>41411.58</v>
      </c>
      <c r="M344" s="9">
        <v>36285.46</v>
      </c>
      <c r="N344" s="9">
        <v>5126.12</v>
      </c>
      <c r="O344">
        <f>MONTH(TblSales[[#This Row],[Date]])</f>
        <v>3</v>
      </c>
      <c r="P344" t="str">
        <f>TEXT(TblSales[[#This Row],[Date]],"mmm")</f>
        <v>Mar</v>
      </c>
      <c r="Q344">
        <f>YEAR(TblSales[[#This Row],[Date]])</f>
        <v>2025</v>
      </c>
    </row>
    <row r="345" spans="1:17">
      <c r="A345" t="s">
        <v>665</v>
      </c>
      <c r="B345" s="5" t="s">
        <v>227</v>
      </c>
      <c r="C345" t="s">
        <v>16</v>
      </c>
      <c r="D345" t="s">
        <v>25</v>
      </c>
      <c r="E345" t="s">
        <v>70</v>
      </c>
      <c r="F345" t="s">
        <v>320</v>
      </c>
      <c r="G345" t="s">
        <v>20</v>
      </c>
      <c r="H345" t="s">
        <v>29</v>
      </c>
      <c r="I345">
        <v>2</v>
      </c>
      <c r="J345">
        <v>43741</v>
      </c>
      <c r="K345">
        <v>7.0000000000000007E-2</v>
      </c>
      <c r="L345" s="9">
        <v>81358.259999999995</v>
      </c>
      <c r="M345" s="9">
        <v>58519.69</v>
      </c>
      <c r="N345" s="9">
        <v>22838.57</v>
      </c>
      <c r="O345">
        <f>MONTH(TblSales[[#This Row],[Date]])</f>
        <v>8</v>
      </c>
      <c r="P345" t="str">
        <f>TEXT(TblSales[[#This Row],[Date]],"mmm")</f>
        <v>Aug</v>
      </c>
      <c r="Q345">
        <f>YEAR(TblSales[[#This Row],[Date]])</f>
        <v>2025</v>
      </c>
    </row>
    <row r="346" spans="1:17">
      <c r="A346" t="s">
        <v>666</v>
      </c>
      <c r="B346" s="5" t="s">
        <v>667</v>
      </c>
      <c r="C346" t="s">
        <v>59</v>
      </c>
      <c r="D346" t="s">
        <v>60</v>
      </c>
      <c r="E346" t="s">
        <v>106</v>
      </c>
      <c r="F346" t="s">
        <v>209</v>
      </c>
      <c r="G346" t="s">
        <v>67</v>
      </c>
      <c r="H346" t="s">
        <v>56</v>
      </c>
      <c r="I346">
        <v>4</v>
      </c>
      <c r="J346">
        <v>41325</v>
      </c>
      <c r="K346">
        <v>0.06</v>
      </c>
      <c r="L346" s="9">
        <v>155382</v>
      </c>
      <c r="M346" s="9">
        <v>122569.98</v>
      </c>
      <c r="N346" s="9">
        <v>32812.019999999997</v>
      </c>
      <c r="O346">
        <f>MONTH(TblSales[[#This Row],[Date]])</f>
        <v>9</v>
      </c>
      <c r="P346" t="str">
        <f>TEXT(TblSales[[#This Row],[Date]],"mmm")</f>
        <v>Sep</v>
      </c>
      <c r="Q346">
        <f>YEAR(TblSales[[#This Row],[Date]])</f>
        <v>2025</v>
      </c>
    </row>
    <row r="347" spans="1:17">
      <c r="A347" t="s">
        <v>668</v>
      </c>
      <c r="B347" s="5" t="s">
        <v>669</v>
      </c>
      <c r="C347" t="s">
        <v>37</v>
      </c>
      <c r="D347" t="s">
        <v>25</v>
      </c>
      <c r="E347" t="s">
        <v>43</v>
      </c>
      <c r="F347" t="s">
        <v>44</v>
      </c>
      <c r="G347" t="s">
        <v>28</v>
      </c>
      <c r="H347" t="s">
        <v>56</v>
      </c>
      <c r="I347">
        <v>3</v>
      </c>
      <c r="J347">
        <v>24195</v>
      </c>
      <c r="K347">
        <v>0.05</v>
      </c>
      <c r="L347" s="9">
        <v>68955.75</v>
      </c>
      <c r="M347" s="9">
        <v>60295.32</v>
      </c>
      <c r="N347" s="9">
        <v>8660.43</v>
      </c>
      <c r="O347">
        <f>MONTH(TblSales[[#This Row],[Date]])</f>
        <v>6</v>
      </c>
      <c r="P347" t="str">
        <f>TEXT(TblSales[[#This Row],[Date]],"mmm")</f>
        <v>Jun</v>
      </c>
      <c r="Q347">
        <f>YEAR(TblSales[[#This Row],[Date]])</f>
        <v>2025</v>
      </c>
    </row>
    <row r="348" spans="1:17">
      <c r="A348" t="s">
        <v>670</v>
      </c>
      <c r="B348" s="5" t="s">
        <v>521</v>
      </c>
      <c r="C348" t="s">
        <v>32</v>
      </c>
      <c r="D348" t="s">
        <v>53</v>
      </c>
      <c r="E348" t="s">
        <v>127</v>
      </c>
      <c r="F348" t="s">
        <v>190</v>
      </c>
      <c r="G348" t="s">
        <v>119</v>
      </c>
      <c r="H348" t="s">
        <v>34</v>
      </c>
      <c r="I348">
        <v>4</v>
      </c>
      <c r="J348">
        <v>50581</v>
      </c>
      <c r="K348">
        <v>7.0000000000000007E-2</v>
      </c>
      <c r="L348" s="9">
        <v>188161.32</v>
      </c>
      <c r="M348" s="9">
        <v>149538.78</v>
      </c>
      <c r="N348" s="9">
        <v>38622.54</v>
      </c>
      <c r="O348">
        <f>MONTH(TblSales[[#This Row],[Date]])</f>
        <v>1</v>
      </c>
      <c r="P348" t="str">
        <f>TEXT(TblSales[[#This Row],[Date]],"mmm")</f>
        <v>Jan</v>
      </c>
      <c r="Q348">
        <f>YEAR(TblSales[[#This Row],[Date]])</f>
        <v>2025</v>
      </c>
    </row>
    <row r="349" spans="1:17">
      <c r="A349" t="s">
        <v>671</v>
      </c>
      <c r="B349" s="5" t="s">
        <v>239</v>
      </c>
      <c r="C349" t="s">
        <v>85</v>
      </c>
      <c r="D349" t="s">
        <v>25</v>
      </c>
      <c r="E349" t="s">
        <v>70</v>
      </c>
      <c r="F349" t="s">
        <v>320</v>
      </c>
      <c r="G349" t="s">
        <v>119</v>
      </c>
      <c r="H349" t="s">
        <v>56</v>
      </c>
      <c r="I349">
        <v>5</v>
      </c>
      <c r="J349">
        <v>10438</v>
      </c>
      <c r="K349">
        <v>0.04</v>
      </c>
      <c r="L349" s="9">
        <v>50102.400000000001</v>
      </c>
      <c r="M349" s="9">
        <v>41374.74</v>
      </c>
      <c r="N349" s="9">
        <v>8727.66</v>
      </c>
      <c r="O349">
        <f>MONTH(TblSales[[#This Row],[Date]])</f>
        <v>6</v>
      </c>
      <c r="P349" t="str">
        <f>TEXT(TblSales[[#This Row],[Date]],"mmm")</f>
        <v>Jun</v>
      </c>
      <c r="Q349">
        <f>YEAR(TblSales[[#This Row],[Date]])</f>
        <v>2025</v>
      </c>
    </row>
    <row r="350" spans="1:17">
      <c r="A350" t="s">
        <v>672</v>
      </c>
      <c r="B350" s="5" t="s">
        <v>673</v>
      </c>
      <c r="C350" t="s">
        <v>89</v>
      </c>
      <c r="D350" t="s">
        <v>25</v>
      </c>
      <c r="E350" t="s">
        <v>81</v>
      </c>
      <c r="F350" t="s">
        <v>377</v>
      </c>
      <c r="G350" t="s">
        <v>40</v>
      </c>
      <c r="H350" t="s">
        <v>56</v>
      </c>
      <c r="I350">
        <v>5</v>
      </c>
      <c r="J350">
        <v>53431</v>
      </c>
      <c r="K350">
        <v>0.06</v>
      </c>
      <c r="L350" s="9">
        <v>251125.7</v>
      </c>
      <c r="M350" s="9">
        <v>197997.13</v>
      </c>
      <c r="N350" s="9">
        <v>53128.57</v>
      </c>
      <c r="O350">
        <f>MONTH(TblSales[[#This Row],[Date]])</f>
        <v>9</v>
      </c>
      <c r="P350" t="str">
        <f>TEXT(TblSales[[#This Row],[Date]],"mmm")</f>
        <v>Sep</v>
      </c>
      <c r="Q350">
        <f>YEAR(TblSales[[#This Row],[Date]])</f>
        <v>2025</v>
      </c>
    </row>
    <row r="351" spans="1:17">
      <c r="A351" t="s">
        <v>674</v>
      </c>
      <c r="B351" s="5" t="s">
        <v>675</v>
      </c>
      <c r="C351" t="s">
        <v>113</v>
      </c>
      <c r="D351" t="s">
        <v>17</v>
      </c>
      <c r="E351" t="s">
        <v>74</v>
      </c>
      <c r="F351" t="s">
        <v>539</v>
      </c>
      <c r="G351" t="s">
        <v>108</v>
      </c>
      <c r="H351" t="s">
        <v>34</v>
      </c>
      <c r="I351">
        <v>5</v>
      </c>
      <c r="J351">
        <v>2635</v>
      </c>
      <c r="K351">
        <v>0.14000000000000001</v>
      </c>
      <c r="L351" s="9">
        <v>11330.5</v>
      </c>
      <c r="M351" s="9">
        <v>8921.15</v>
      </c>
      <c r="N351" s="9">
        <v>2409.35</v>
      </c>
      <c r="O351">
        <f>MONTH(TblSales[[#This Row],[Date]])</f>
        <v>10</v>
      </c>
      <c r="P351" t="str">
        <f>TEXT(TblSales[[#This Row],[Date]],"mmm")</f>
        <v>Oct</v>
      </c>
      <c r="Q351">
        <f>YEAR(TblSales[[#This Row],[Date]])</f>
        <v>2025</v>
      </c>
    </row>
    <row r="352" spans="1:17">
      <c r="A352" t="s">
        <v>676</v>
      </c>
      <c r="B352" s="5" t="s">
        <v>677</v>
      </c>
      <c r="C352" t="s">
        <v>52</v>
      </c>
      <c r="D352" t="s">
        <v>53</v>
      </c>
      <c r="E352" t="s">
        <v>54</v>
      </c>
      <c r="F352" t="s">
        <v>78</v>
      </c>
      <c r="G352" t="s">
        <v>28</v>
      </c>
      <c r="H352" t="s">
        <v>29</v>
      </c>
      <c r="I352">
        <v>5</v>
      </c>
      <c r="J352">
        <v>24367</v>
      </c>
      <c r="K352">
        <v>0.11</v>
      </c>
      <c r="L352" s="9">
        <v>108433.15</v>
      </c>
      <c r="M352" s="9">
        <v>92408.92</v>
      </c>
      <c r="N352" s="9">
        <v>16024.23</v>
      </c>
      <c r="O352">
        <f>MONTH(TblSales[[#This Row],[Date]])</f>
        <v>8</v>
      </c>
      <c r="P352" t="str">
        <f>TEXT(TblSales[[#This Row],[Date]],"mmm")</f>
        <v>Aug</v>
      </c>
      <c r="Q352">
        <f>YEAR(TblSales[[#This Row],[Date]])</f>
        <v>2025</v>
      </c>
    </row>
    <row r="353" spans="1:17">
      <c r="A353" t="s">
        <v>678</v>
      </c>
      <c r="B353" s="5" t="s">
        <v>679</v>
      </c>
      <c r="C353" t="s">
        <v>37</v>
      </c>
      <c r="D353" t="s">
        <v>53</v>
      </c>
      <c r="E353" t="s">
        <v>148</v>
      </c>
      <c r="F353" t="s">
        <v>242</v>
      </c>
      <c r="G353" t="s">
        <v>28</v>
      </c>
      <c r="H353" t="s">
        <v>56</v>
      </c>
      <c r="I353">
        <v>1</v>
      </c>
      <c r="J353">
        <v>51839</v>
      </c>
      <c r="K353">
        <v>0.04</v>
      </c>
      <c r="L353" s="9">
        <v>49765.440000000002</v>
      </c>
      <c r="M353" s="9">
        <v>37276.769999999997</v>
      </c>
      <c r="N353" s="9">
        <v>12488.67</v>
      </c>
      <c r="O353">
        <f>MONTH(TblSales[[#This Row],[Date]])</f>
        <v>5</v>
      </c>
      <c r="P353" t="str">
        <f>TEXT(TblSales[[#This Row],[Date]],"mmm")</f>
        <v>May</v>
      </c>
      <c r="Q353">
        <f>YEAR(TblSales[[#This Row],[Date]])</f>
        <v>2025</v>
      </c>
    </row>
    <row r="354" spans="1:17">
      <c r="A354" t="s">
        <v>680</v>
      </c>
      <c r="B354" s="5" t="s">
        <v>681</v>
      </c>
      <c r="C354" t="s">
        <v>98</v>
      </c>
      <c r="D354" t="s">
        <v>60</v>
      </c>
      <c r="E354" t="s">
        <v>106</v>
      </c>
      <c r="F354" t="s">
        <v>209</v>
      </c>
      <c r="G354" t="s">
        <v>45</v>
      </c>
      <c r="H354" t="s">
        <v>34</v>
      </c>
      <c r="I354">
        <v>2</v>
      </c>
      <c r="J354">
        <v>40077</v>
      </c>
      <c r="K354">
        <v>0.12</v>
      </c>
      <c r="L354" s="9">
        <v>70535.520000000004</v>
      </c>
      <c r="M354" s="9">
        <v>61434.83</v>
      </c>
      <c r="N354" s="9">
        <v>9100.69</v>
      </c>
      <c r="O354">
        <f>MONTH(TblSales[[#This Row],[Date]])</f>
        <v>4</v>
      </c>
      <c r="P354" t="str">
        <f>TEXT(TblSales[[#This Row],[Date]],"mmm")</f>
        <v>Apr</v>
      </c>
      <c r="Q354">
        <f>YEAR(TblSales[[#This Row],[Date]])</f>
        <v>2025</v>
      </c>
    </row>
    <row r="355" spans="1:17">
      <c r="A355" t="s">
        <v>682</v>
      </c>
      <c r="B355" s="5" t="s">
        <v>673</v>
      </c>
      <c r="C355" t="s">
        <v>89</v>
      </c>
      <c r="D355" t="s">
        <v>25</v>
      </c>
      <c r="E355" t="s">
        <v>81</v>
      </c>
      <c r="F355" t="s">
        <v>82</v>
      </c>
      <c r="G355" t="s">
        <v>20</v>
      </c>
      <c r="H355" t="s">
        <v>34</v>
      </c>
      <c r="I355">
        <v>4</v>
      </c>
      <c r="J355">
        <v>25511</v>
      </c>
      <c r="K355">
        <v>0.12</v>
      </c>
      <c r="L355" s="9">
        <v>89798.720000000001</v>
      </c>
      <c r="M355" s="9">
        <v>66343.070000000007</v>
      </c>
      <c r="N355" s="9">
        <v>23455.65</v>
      </c>
      <c r="O355">
        <f>MONTH(TblSales[[#This Row],[Date]])</f>
        <v>9</v>
      </c>
      <c r="P355" t="str">
        <f>TEXT(TblSales[[#This Row],[Date]],"mmm")</f>
        <v>Sep</v>
      </c>
      <c r="Q355">
        <f>YEAR(TblSales[[#This Row],[Date]])</f>
        <v>2025</v>
      </c>
    </row>
    <row r="356" spans="1:17">
      <c r="A356" t="s">
        <v>683</v>
      </c>
      <c r="B356" s="5" t="s">
        <v>614</v>
      </c>
      <c r="C356" t="s">
        <v>24</v>
      </c>
      <c r="D356" t="s">
        <v>53</v>
      </c>
      <c r="E356" t="s">
        <v>127</v>
      </c>
      <c r="F356" t="s">
        <v>137</v>
      </c>
      <c r="G356" t="s">
        <v>108</v>
      </c>
      <c r="H356" t="s">
        <v>34</v>
      </c>
      <c r="I356">
        <v>1</v>
      </c>
      <c r="J356">
        <v>9797</v>
      </c>
      <c r="K356">
        <v>0.06</v>
      </c>
      <c r="L356" s="9">
        <v>9209.18</v>
      </c>
      <c r="M356" s="9">
        <v>8271.76</v>
      </c>
      <c r="N356" s="9">
        <v>937.42</v>
      </c>
      <c r="O356">
        <f>MONTH(TblSales[[#This Row],[Date]])</f>
        <v>1</v>
      </c>
      <c r="P356" t="str">
        <f>TEXT(TblSales[[#This Row],[Date]],"mmm")</f>
        <v>Jan</v>
      </c>
      <c r="Q356">
        <f>YEAR(TblSales[[#This Row],[Date]])</f>
        <v>2025</v>
      </c>
    </row>
    <row r="357" spans="1:17">
      <c r="A357" t="s">
        <v>684</v>
      </c>
      <c r="B357" s="5" t="s">
        <v>101</v>
      </c>
      <c r="C357" t="s">
        <v>113</v>
      </c>
      <c r="D357" t="s">
        <v>17</v>
      </c>
      <c r="E357" t="s">
        <v>18</v>
      </c>
      <c r="F357" t="s">
        <v>19</v>
      </c>
      <c r="G357" t="s">
        <v>33</v>
      </c>
      <c r="H357" t="s">
        <v>29</v>
      </c>
      <c r="I357">
        <v>2</v>
      </c>
      <c r="J357">
        <v>12528</v>
      </c>
      <c r="K357">
        <v>7.0000000000000007E-2</v>
      </c>
      <c r="L357" s="9">
        <v>23302.080000000002</v>
      </c>
      <c r="M357" s="9">
        <v>20882.349999999999</v>
      </c>
      <c r="N357" s="9">
        <v>2419.73</v>
      </c>
      <c r="O357">
        <f>MONTH(TblSales[[#This Row],[Date]])</f>
        <v>7</v>
      </c>
      <c r="P357" t="str">
        <f>TEXT(TblSales[[#This Row],[Date]],"mmm")</f>
        <v>Jul</v>
      </c>
      <c r="Q357">
        <f>YEAR(TblSales[[#This Row],[Date]])</f>
        <v>2025</v>
      </c>
    </row>
    <row r="358" spans="1:17">
      <c r="A358" t="s">
        <v>685</v>
      </c>
      <c r="B358" s="5" t="s">
        <v>289</v>
      </c>
      <c r="C358" t="s">
        <v>52</v>
      </c>
      <c r="D358" t="s">
        <v>53</v>
      </c>
      <c r="E358" t="s">
        <v>140</v>
      </c>
      <c r="F358" t="s">
        <v>187</v>
      </c>
      <c r="G358" t="s">
        <v>108</v>
      </c>
      <c r="H358" t="s">
        <v>21</v>
      </c>
      <c r="I358">
        <v>4</v>
      </c>
      <c r="J358">
        <v>53988</v>
      </c>
      <c r="K358">
        <v>0.04</v>
      </c>
      <c r="L358" s="9">
        <v>207313.92000000001</v>
      </c>
      <c r="M358" s="9">
        <v>148900.76999999999</v>
      </c>
      <c r="N358" s="9">
        <v>58413.15</v>
      </c>
      <c r="O358">
        <f>MONTH(TblSales[[#This Row],[Date]])</f>
        <v>5</v>
      </c>
      <c r="P358" t="str">
        <f>TEXT(TblSales[[#This Row],[Date]],"mmm")</f>
        <v>May</v>
      </c>
      <c r="Q358">
        <f>YEAR(TblSales[[#This Row],[Date]])</f>
        <v>2025</v>
      </c>
    </row>
    <row r="359" spans="1:17">
      <c r="A359" t="s">
        <v>686</v>
      </c>
      <c r="B359" s="5" t="s">
        <v>315</v>
      </c>
      <c r="C359" t="s">
        <v>89</v>
      </c>
      <c r="D359" t="s">
        <v>17</v>
      </c>
      <c r="E359" t="s">
        <v>18</v>
      </c>
      <c r="F359" t="s">
        <v>86</v>
      </c>
      <c r="G359" t="s">
        <v>20</v>
      </c>
      <c r="H359" t="s">
        <v>29</v>
      </c>
      <c r="I359">
        <v>3</v>
      </c>
      <c r="J359">
        <v>19474</v>
      </c>
      <c r="K359">
        <v>0.04</v>
      </c>
      <c r="L359" s="9">
        <v>56085.120000000003</v>
      </c>
      <c r="M359" s="9">
        <v>43359.73</v>
      </c>
      <c r="N359" s="9">
        <v>12725.39</v>
      </c>
      <c r="O359">
        <f>MONTH(TblSales[[#This Row],[Date]])</f>
        <v>7</v>
      </c>
      <c r="P359" t="str">
        <f>TEXT(TblSales[[#This Row],[Date]],"mmm")</f>
        <v>Jul</v>
      </c>
      <c r="Q359">
        <f>YEAR(TblSales[[#This Row],[Date]])</f>
        <v>2025</v>
      </c>
    </row>
    <row r="360" spans="1:17">
      <c r="A360" t="s">
        <v>687</v>
      </c>
      <c r="B360" s="5" t="s">
        <v>611</v>
      </c>
      <c r="C360" t="s">
        <v>16</v>
      </c>
      <c r="D360" t="s">
        <v>60</v>
      </c>
      <c r="E360" t="s">
        <v>106</v>
      </c>
      <c r="F360" t="s">
        <v>441</v>
      </c>
      <c r="G360" t="s">
        <v>40</v>
      </c>
      <c r="H360" t="s">
        <v>56</v>
      </c>
      <c r="I360">
        <v>5</v>
      </c>
      <c r="J360">
        <v>49547</v>
      </c>
      <c r="K360">
        <v>0.08</v>
      </c>
      <c r="L360" s="9">
        <v>227916.2</v>
      </c>
      <c r="M360" s="9">
        <v>190873.52</v>
      </c>
      <c r="N360" s="9">
        <v>37042.68</v>
      </c>
      <c r="O360">
        <f>MONTH(TblSales[[#This Row],[Date]])</f>
        <v>4</v>
      </c>
      <c r="P360" t="str">
        <f>TEXT(TblSales[[#This Row],[Date]],"mmm")</f>
        <v>Apr</v>
      </c>
      <c r="Q360">
        <f>YEAR(TblSales[[#This Row],[Date]])</f>
        <v>2025</v>
      </c>
    </row>
    <row r="361" spans="1:17">
      <c r="A361" t="s">
        <v>688</v>
      </c>
      <c r="B361" s="5" t="s">
        <v>309</v>
      </c>
      <c r="C361" t="s">
        <v>37</v>
      </c>
      <c r="D361" t="s">
        <v>60</v>
      </c>
      <c r="E361" t="s">
        <v>106</v>
      </c>
      <c r="F361" t="s">
        <v>209</v>
      </c>
      <c r="G361" t="s">
        <v>20</v>
      </c>
      <c r="H361" t="s">
        <v>29</v>
      </c>
      <c r="I361">
        <v>3</v>
      </c>
      <c r="J361">
        <v>45222</v>
      </c>
      <c r="K361">
        <v>0.13</v>
      </c>
      <c r="L361" s="9">
        <v>118029.42</v>
      </c>
      <c r="M361" s="9">
        <v>94595.46</v>
      </c>
      <c r="N361" s="9">
        <v>23433.96</v>
      </c>
      <c r="O361">
        <f>MONTH(TblSales[[#This Row],[Date]])</f>
        <v>2</v>
      </c>
      <c r="P361" t="str">
        <f>TEXT(TblSales[[#This Row],[Date]],"mmm")</f>
        <v>Feb</v>
      </c>
      <c r="Q361">
        <f>YEAR(TblSales[[#This Row],[Date]])</f>
        <v>2025</v>
      </c>
    </row>
    <row r="362" spans="1:17">
      <c r="A362" t="s">
        <v>689</v>
      </c>
      <c r="B362" s="5" t="s">
        <v>690</v>
      </c>
      <c r="C362" t="s">
        <v>52</v>
      </c>
      <c r="D362" t="s">
        <v>60</v>
      </c>
      <c r="E362" t="s">
        <v>65</v>
      </c>
      <c r="F362" t="s">
        <v>66</v>
      </c>
      <c r="G362" t="s">
        <v>33</v>
      </c>
      <c r="H362" t="s">
        <v>29</v>
      </c>
      <c r="I362">
        <v>1</v>
      </c>
      <c r="J362">
        <v>29533</v>
      </c>
      <c r="K362">
        <v>0.05</v>
      </c>
      <c r="L362" s="9">
        <v>28056.35</v>
      </c>
      <c r="M362" s="9">
        <v>22338.34</v>
      </c>
      <c r="N362" s="9">
        <v>5718.01</v>
      </c>
      <c r="O362">
        <f>MONTH(TblSales[[#This Row],[Date]])</f>
        <v>4</v>
      </c>
      <c r="P362" t="str">
        <f>TEXT(TblSales[[#This Row],[Date]],"mmm")</f>
        <v>Apr</v>
      </c>
      <c r="Q362">
        <f>YEAR(TblSales[[#This Row],[Date]])</f>
        <v>2025</v>
      </c>
    </row>
    <row r="363" spans="1:17">
      <c r="A363" t="s">
        <v>691</v>
      </c>
      <c r="B363" s="5" t="s">
        <v>433</v>
      </c>
      <c r="C363" t="s">
        <v>98</v>
      </c>
      <c r="D363" t="s">
        <v>60</v>
      </c>
      <c r="E363" t="s">
        <v>61</v>
      </c>
      <c r="F363" t="s">
        <v>62</v>
      </c>
      <c r="G363" t="s">
        <v>20</v>
      </c>
      <c r="H363" t="s">
        <v>21</v>
      </c>
      <c r="I363">
        <v>1</v>
      </c>
      <c r="J363">
        <v>13582</v>
      </c>
      <c r="K363">
        <v>0.02</v>
      </c>
      <c r="L363" s="9">
        <v>13310.36</v>
      </c>
      <c r="M363" s="9">
        <v>11530.03</v>
      </c>
      <c r="N363" s="9">
        <v>1780.33</v>
      </c>
      <c r="O363">
        <f>MONTH(TblSales[[#This Row],[Date]])</f>
        <v>6</v>
      </c>
      <c r="P363" t="str">
        <f>TEXT(TblSales[[#This Row],[Date]],"mmm")</f>
        <v>Jun</v>
      </c>
      <c r="Q363">
        <f>YEAR(TblSales[[#This Row],[Date]])</f>
        <v>2025</v>
      </c>
    </row>
    <row r="364" spans="1:17">
      <c r="A364" t="s">
        <v>692</v>
      </c>
      <c r="B364" s="5" t="s">
        <v>693</v>
      </c>
      <c r="C364" t="s">
        <v>37</v>
      </c>
      <c r="D364" t="s">
        <v>53</v>
      </c>
      <c r="E364" t="s">
        <v>148</v>
      </c>
      <c r="F364" t="s">
        <v>422</v>
      </c>
      <c r="G364" t="s">
        <v>33</v>
      </c>
      <c r="H364" t="s">
        <v>34</v>
      </c>
      <c r="I364">
        <v>1</v>
      </c>
      <c r="J364">
        <v>5372</v>
      </c>
      <c r="K364">
        <v>7.0000000000000007E-2</v>
      </c>
      <c r="L364" s="9">
        <v>4995.96</v>
      </c>
      <c r="M364" s="9">
        <v>3642.62</v>
      </c>
      <c r="N364" s="9">
        <v>1353.34</v>
      </c>
      <c r="O364">
        <f>MONTH(TblSales[[#This Row],[Date]])</f>
        <v>5</v>
      </c>
      <c r="P364" t="str">
        <f>TEXT(TblSales[[#This Row],[Date]],"mmm")</f>
        <v>May</v>
      </c>
      <c r="Q364">
        <f>YEAR(TblSales[[#This Row],[Date]])</f>
        <v>2025</v>
      </c>
    </row>
    <row r="365" spans="1:17">
      <c r="A365" t="s">
        <v>694</v>
      </c>
      <c r="B365" s="5" t="s">
        <v>490</v>
      </c>
      <c r="C365" t="s">
        <v>59</v>
      </c>
      <c r="D365" t="s">
        <v>17</v>
      </c>
      <c r="E365" t="s">
        <v>18</v>
      </c>
      <c r="F365" t="s">
        <v>266</v>
      </c>
      <c r="G365" t="s">
        <v>45</v>
      </c>
      <c r="H365" t="s">
        <v>21</v>
      </c>
      <c r="I365">
        <v>5</v>
      </c>
      <c r="J365">
        <v>24085</v>
      </c>
      <c r="K365">
        <v>0.04</v>
      </c>
      <c r="L365" s="9">
        <v>115608</v>
      </c>
      <c r="M365" s="9">
        <v>82485.3</v>
      </c>
      <c r="N365" s="9">
        <v>33122.699999999997</v>
      </c>
      <c r="O365">
        <f>MONTH(TblSales[[#This Row],[Date]])</f>
        <v>5</v>
      </c>
      <c r="P365" t="str">
        <f>TEXT(TblSales[[#This Row],[Date]],"mmm")</f>
        <v>May</v>
      </c>
      <c r="Q365">
        <f>YEAR(TblSales[[#This Row],[Date]])</f>
        <v>2025</v>
      </c>
    </row>
    <row r="366" spans="1:17">
      <c r="A366" t="s">
        <v>695</v>
      </c>
      <c r="B366" s="5" t="s">
        <v>418</v>
      </c>
      <c r="C366" t="s">
        <v>32</v>
      </c>
      <c r="D366" t="s">
        <v>25</v>
      </c>
      <c r="E366" t="s">
        <v>26</v>
      </c>
      <c r="F366" t="s">
        <v>179</v>
      </c>
      <c r="G366" t="s">
        <v>28</v>
      </c>
      <c r="H366" t="s">
        <v>34</v>
      </c>
      <c r="I366">
        <v>4</v>
      </c>
      <c r="J366">
        <v>8109</v>
      </c>
      <c r="K366">
        <v>0.12</v>
      </c>
      <c r="L366" s="9">
        <v>28543.68</v>
      </c>
      <c r="M366" s="9">
        <v>21181.81</v>
      </c>
      <c r="N366" s="9">
        <v>7361.87</v>
      </c>
      <c r="O366">
        <f>MONTH(TblSales[[#This Row],[Date]])</f>
        <v>7</v>
      </c>
      <c r="P366" t="str">
        <f>TEXT(TblSales[[#This Row],[Date]],"mmm")</f>
        <v>Jul</v>
      </c>
      <c r="Q366">
        <f>YEAR(TblSales[[#This Row],[Date]])</f>
        <v>2025</v>
      </c>
    </row>
    <row r="367" spans="1:17">
      <c r="A367" t="s">
        <v>696</v>
      </c>
      <c r="B367" s="5" t="s">
        <v>495</v>
      </c>
      <c r="C367" t="s">
        <v>37</v>
      </c>
      <c r="D367" t="s">
        <v>60</v>
      </c>
      <c r="E367" t="s">
        <v>106</v>
      </c>
      <c r="F367" t="s">
        <v>107</v>
      </c>
      <c r="G367" t="s">
        <v>33</v>
      </c>
      <c r="H367" t="s">
        <v>21</v>
      </c>
      <c r="I367">
        <v>5</v>
      </c>
      <c r="J367">
        <v>54206</v>
      </c>
      <c r="K367">
        <v>0.08</v>
      </c>
      <c r="L367" s="9">
        <v>249347.6</v>
      </c>
      <c r="M367" s="9">
        <v>184406.18</v>
      </c>
      <c r="N367" s="9">
        <v>64941.42</v>
      </c>
      <c r="O367">
        <f>MONTH(TblSales[[#This Row],[Date]])</f>
        <v>7</v>
      </c>
      <c r="P367" t="str">
        <f>TEXT(TblSales[[#This Row],[Date]],"mmm")</f>
        <v>Jul</v>
      </c>
      <c r="Q367">
        <f>YEAR(TblSales[[#This Row],[Date]])</f>
        <v>2025</v>
      </c>
    </row>
    <row r="368" spans="1:17">
      <c r="A368" t="s">
        <v>697</v>
      </c>
      <c r="B368" s="5" t="s">
        <v>77</v>
      </c>
      <c r="C368" t="s">
        <v>32</v>
      </c>
      <c r="D368" t="s">
        <v>17</v>
      </c>
      <c r="E368" t="s">
        <v>38</v>
      </c>
      <c r="F368" t="s">
        <v>114</v>
      </c>
      <c r="G368" t="s">
        <v>20</v>
      </c>
      <c r="H368" t="s">
        <v>21</v>
      </c>
      <c r="I368">
        <v>3</v>
      </c>
      <c r="J368">
        <v>48362</v>
      </c>
      <c r="K368">
        <v>0.14000000000000001</v>
      </c>
      <c r="L368" s="9">
        <v>124773.96</v>
      </c>
      <c r="M368" s="9">
        <v>94664.89</v>
      </c>
      <c r="N368" s="9">
        <v>30109.07</v>
      </c>
      <c r="O368">
        <f>MONTH(TblSales[[#This Row],[Date]])</f>
        <v>3</v>
      </c>
      <c r="P368" t="str">
        <f>TEXT(TblSales[[#This Row],[Date]],"mmm")</f>
        <v>Mar</v>
      </c>
      <c r="Q368">
        <f>YEAR(TblSales[[#This Row],[Date]])</f>
        <v>2025</v>
      </c>
    </row>
    <row r="369" spans="1:17">
      <c r="A369" t="s">
        <v>698</v>
      </c>
      <c r="B369" s="5" t="s">
        <v>699</v>
      </c>
      <c r="C369" t="s">
        <v>24</v>
      </c>
      <c r="D369" t="s">
        <v>60</v>
      </c>
      <c r="E369" t="s">
        <v>61</v>
      </c>
      <c r="F369" t="s">
        <v>395</v>
      </c>
      <c r="G369" t="s">
        <v>45</v>
      </c>
      <c r="H369" t="s">
        <v>56</v>
      </c>
      <c r="I369">
        <v>4</v>
      </c>
      <c r="J369">
        <v>30555</v>
      </c>
      <c r="K369">
        <v>0.03</v>
      </c>
      <c r="L369" s="9">
        <v>118553.4</v>
      </c>
      <c r="M369" s="9">
        <v>92519.32</v>
      </c>
      <c r="N369" s="9">
        <v>26034.080000000002</v>
      </c>
      <c r="O369">
        <f>MONTH(TblSales[[#This Row],[Date]])</f>
        <v>2</v>
      </c>
      <c r="P369" t="str">
        <f>TEXT(TblSales[[#This Row],[Date]],"mmm")</f>
        <v>Feb</v>
      </c>
      <c r="Q369">
        <f>YEAR(TblSales[[#This Row],[Date]])</f>
        <v>2025</v>
      </c>
    </row>
    <row r="370" spans="1:17">
      <c r="A370" t="s">
        <v>700</v>
      </c>
      <c r="B370" s="5" t="s">
        <v>701</v>
      </c>
      <c r="C370" t="s">
        <v>113</v>
      </c>
      <c r="D370" t="s">
        <v>53</v>
      </c>
      <c r="E370" t="s">
        <v>148</v>
      </c>
      <c r="F370" t="s">
        <v>242</v>
      </c>
      <c r="G370" t="s">
        <v>67</v>
      </c>
      <c r="H370" t="s">
        <v>29</v>
      </c>
      <c r="I370">
        <v>2</v>
      </c>
      <c r="J370">
        <v>41907</v>
      </c>
      <c r="K370">
        <v>0.09</v>
      </c>
      <c r="L370" s="9">
        <v>76270.740000000005</v>
      </c>
      <c r="M370" s="9">
        <v>55988.29</v>
      </c>
      <c r="N370" s="9">
        <v>20282.45</v>
      </c>
      <c r="O370">
        <f>MONTH(TblSales[[#This Row],[Date]])</f>
        <v>1</v>
      </c>
      <c r="P370" t="str">
        <f>TEXT(TblSales[[#This Row],[Date]],"mmm")</f>
        <v>Jan</v>
      </c>
      <c r="Q370">
        <f>YEAR(TblSales[[#This Row],[Date]])</f>
        <v>2025</v>
      </c>
    </row>
    <row r="371" spans="1:17">
      <c r="A371" t="s">
        <v>702</v>
      </c>
      <c r="B371" s="5" t="s">
        <v>452</v>
      </c>
      <c r="C371" t="s">
        <v>37</v>
      </c>
      <c r="D371" t="s">
        <v>53</v>
      </c>
      <c r="E371" t="s">
        <v>54</v>
      </c>
      <c r="F371" t="s">
        <v>55</v>
      </c>
      <c r="G371" t="s">
        <v>45</v>
      </c>
      <c r="H371" t="s">
        <v>34</v>
      </c>
      <c r="I371">
        <v>4</v>
      </c>
      <c r="J371">
        <v>36739</v>
      </c>
      <c r="K371">
        <v>7.0000000000000007E-2</v>
      </c>
      <c r="L371" s="9">
        <v>136669.07999999999</v>
      </c>
      <c r="M371" s="9">
        <v>105773.96</v>
      </c>
      <c r="N371" s="9">
        <v>30895.119999999999</v>
      </c>
      <c r="O371">
        <f>MONTH(TblSales[[#This Row],[Date]])</f>
        <v>3</v>
      </c>
      <c r="P371" t="str">
        <f>TEXT(TblSales[[#This Row],[Date]],"mmm")</f>
        <v>Mar</v>
      </c>
      <c r="Q371">
        <f>YEAR(TblSales[[#This Row],[Date]])</f>
        <v>2025</v>
      </c>
    </row>
    <row r="372" spans="1:17">
      <c r="A372" t="s">
        <v>703</v>
      </c>
      <c r="B372" s="5" t="s">
        <v>704</v>
      </c>
      <c r="C372" t="s">
        <v>89</v>
      </c>
      <c r="D372" t="s">
        <v>25</v>
      </c>
      <c r="E372" t="s">
        <v>26</v>
      </c>
      <c r="F372" t="s">
        <v>99</v>
      </c>
      <c r="G372" t="s">
        <v>67</v>
      </c>
      <c r="H372" t="s">
        <v>56</v>
      </c>
      <c r="I372">
        <v>1</v>
      </c>
      <c r="J372">
        <v>4379</v>
      </c>
      <c r="K372">
        <v>0.09</v>
      </c>
      <c r="L372" s="9">
        <v>3984.89</v>
      </c>
      <c r="M372" s="9">
        <v>3178.78</v>
      </c>
      <c r="N372" s="9">
        <v>806.11</v>
      </c>
      <c r="O372">
        <f>MONTH(TblSales[[#This Row],[Date]])</f>
        <v>5</v>
      </c>
      <c r="P372" t="str">
        <f>TEXT(TblSales[[#This Row],[Date]],"mmm")</f>
        <v>May</v>
      </c>
      <c r="Q372">
        <f>YEAR(TblSales[[#This Row],[Date]])</f>
        <v>2025</v>
      </c>
    </row>
    <row r="373" spans="1:17">
      <c r="A373" t="s">
        <v>705</v>
      </c>
      <c r="B373" s="5" t="s">
        <v>706</v>
      </c>
      <c r="C373" t="s">
        <v>24</v>
      </c>
      <c r="D373" t="s">
        <v>60</v>
      </c>
      <c r="E373" t="s">
        <v>102</v>
      </c>
      <c r="F373" t="s">
        <v>303</v>
      </c>
      <c r="G373" t="s">
        <v>119</v>
      </c>
      <c r="H373" t="s">
        <v>21</v>
      </c>
      <c r="I373">
        <v>5</v>
      </c>
      <c r="J373">
        <v>9949</v>
      </c>
      <c r="K373">
        <v>0.03</v>
      </c>
      <c r="L373" s="9">
        <v>48252.65</v>
      </c>
      <c r="M373" s="9">
        <v>41892.76</v>
      </c>
      <c r="N373" s="9">
        <v>6359.89</v>
      </c>
      <c r="O373">
        <f>MONTH(TblSales[[#This Row],[Date]])</f>
        <v>7</v>
      </c>
      <c r="P373" t="str">
        <f>TEXT(TblSales[[#This Row],[Date]],"mmm")</f>
        <v>Jul</v>
      </c>
      <c r="Q373">
        <f>YEAR(TblSales[[#This Row],[Date]])</f>
        <v>2025</v>
      </c>
    </row>
    <row r="374" spans="1:17">
      <c r="A374" t="s">
        <v>707</v>
      </c>
      <c r="B374" s="5" t="s">
        <v>708</v>
      </c>
      <c r="C374" t="s">
        <v>85</v>
      </c>
      <c r="D374" t="s">
        <v>17</v>
      </c>
      <c r="E374" t="s">
        <v>48</v>
      </c>
      <c r="F374" t="s">
        <v>579</v>
      </c>
      <c r="G374" t="s">
        <v>119</v>
      </c>
      <c r="H374" t="s">
        <v>56</v>
      </c>
      <c r="I374">
        <v>4</v>
      </c>
      <c r="J374">
        <v>12540</v>
      </c>
      <c r="K374">
        <v>7.0000000000000007E-2</v>
      </c>
      <c r="L374" s="9">
        <v>46648.800000000003</v>
      </c>
      <c r="M374" s="9">
        <v>35042.92</v>
      </c>
      <c r="N374" s="9">
        <v>11605.88</v>
      </c>
      <c r="O374">
        <f>MONTH(TblSales[[#This Row],[Date]])</f>
        <v>3</v>
      </c>
      <c r="P374" t="str">
        <f>TEXT(TblSales[[#This Row],[Date]],"mmm")</f>
        <v>Mar</v>
      </c>
      <c r="Q374">
        <f>YEAR(TblSales[[#This Row],[Date]])</f>
        <v>2025</v>
      </c>
    </row>
    <row r="375" spans="1:17">
      <c r="A375" t="s">
        <v>709</v>
      </c>
      <c r="B375" s="5" t="s">
        <v>285</v>
      </c>
      <c r="C375" t="s">
        <v>85</v>
      </c>
      <c r="D375" t="s">
        <v>53</v>
      </c>
      <c r="E375" t="s">
        <v>148</v>
      </c>
      <c r="F375" t="s">
        <v>422</v>
      </c>
      <c r="G375" t="s">
        <v>20</v>
      </c>
      <c r="H375" t="s">
        <v>34</v>
      </c>
      <c r="I375">
        <v>2</v>
      </c>
      <c r="J375">
        <v>15340</v>
      </c>
      <c r="K375">
        <v>0.15</v>
      </c>
      <c r="L375" s="9">
        <v>26078</v>
      </c>
      <c r="M375" s="9">
        <v>22075.200000000001</v>
      </c>
      <c r="N375" s="9">
        <v>4002.8</v>
      </c>
      <c r="O375">
        <f>MONTH(TblSales[[#This Row],[Date]])</f>
        <v>6</v>
      </c>
      <c r="P375" t="str">
        <f>TEXT(TblSales[[#This Row],[Date]],"mmm")</f>
        <v>Jun</v>
      </c>
      <c r="Q375">
        <f>YEAR(TblSales[[#This Row],[Date]])</f>
        <v>2025</v>
      </c>
    </row>
    <row r="376" spans="1:17">
      <c r="A376" t="s">
        <v>710</v>
      </c>
      <c r="B376" s="5" t="s">
        <v>317</v>
      </c>
      <c r="C376" t="s">
        <v>98</v>
      </c>
      <c r="D376" t="s">
        <v>53</v>
      </c>
      <c r="E376" t="s">
        <v>148</v>
      </c>
      <c r="F376" t="s">
        <v>422</v>
      </c>
      <c r="G376" t="s">
        <v>33</v>
      </c>
      <c r="H376" t="s">
        <v>21</v>
      </c>
      <c r="I376">
        <v>3</v>
      </c>
      <c r="J376">
        <v>30517</v>
      </c>
      <c r="K376">
        <v>0.09</v>
      </c>
      <c r="L376" s="9">
        <v>83311.41</v>
      </c>
      <c r="M376" s="9">
        <v>61059.23</v>
      </c>
      <c r="N376" s="9">
        <v>22252.18</v>
      </c>
      <c r="O376">
        <f>MONTH(TblSales[[#This Row],[Date]])</f>
        <v>9</v>
      </c>
      <c r="P376" t="str">
        <f>TEXT(TblSales[[#This Row],[Date]],"mmm")</f>
        <v>Sep</v>
      </c>
      <c r="Q376">
        <f>YEAR(TblSales[[#This Row],[Date]])</f>
        <v>2025</v>
      </c>
    </row>
    <row r="377" spans="1:17">
      <c r="A377" t="s">
        <v>711</v>
      </c>
      <c r="B377" s="5" t="s">
        <v>712</v>
      </c>
      <c r="C377" t="s">
        <v>59</v>
      </c>
      <c r="D377" t="s">
        <v>53</v>
      </c>
      <c r="E377" t="s">
        <v>148</v>
      </c>
      <c r="F377" t="s">
        <v>422</v>
      </c>
      <c r="G377" t="s">
        <v>67</v>
      </c>
      <c r="H377" t="s">
        <v>56</v>
      </c>
      <c r="I377">
        <v>1</v>
      </c>
      <c r="J377">
        <v>59168</v>
      </c>
      <c r="K377">
        <v>0.11</v>
      </c>
      <c r="L377" s="9">
        <v>52659.519999999997</v>
      </c>
      <c r="M377" s="9">
        <v>44907.47</v>
      </c>
      <c r="N377" s="9">
        <v>7752.05</v>
      </c>
      <c r="O377">
        <f>MONTH(TblSales[[#This Row],[Date]])</f>
        <v>6</v>
      </c>
      <c r="P377" t="str">
        <f>TEXT(TblSales[[#This Row],[Date]],"mmm")</f>
        <v>Jun</v>
      </c>
      <c r="Q377">
        <f>YEAR(TblSales[[#This Row],[Date]])</f>
        <v>2025</v>
      </c>
    </row>
    <row r="378" spans="1:17">
      <c r="A378" t="s">
        <v>713</v>
      </c>
      <c r="B378" s="5" t="s">
        <v>714</v>
      </c>
      <c r="C378" t="s">
        <v>85</v>
      </c>
      <c r="D378" t="s">
        <v>17</v>
      </c>
      <c r="E378" t="s">
        <v>74</v>
      </c>
      <c r="F378" t="s">
        <v>368</v>
      </c>
      <c r="G378" t="s">
        <v>67</v>
      </c>
      <c r="H378" t="s">
        <v>56</v>
      </c>
      <c r="I378">
        <v>2</v>
      </c>
      <c r="J378">
        <v>57421</v>
      </c>
      <c r="K378">
        <v>0.03</v>
      </c>
      <c r="L378" s="9">
        <v>111396.74</v>
      </c>
      <c r="M378" s="9">
        <v>96588.89</v>
      </c>
      <c r="N378" s="9">
        <v>14807.85</v>
      </c>
      <c r="O378">
        <f>MONTH(TblSales[[#This Row],[Date]])</f>
        <v>6</v>
      </c>
      <c r="P378" t="str">
        <f>TEXT(TblSales[[#This Row],[Date]],"mmm")</f>
        <v>Jun</v>
      </c>
      <c r="Q378">
        <f>YEAR(TblSales[[#This Row],[Date]])</f>
        <v>2025</v>
      </c>
    </row>
    <row r="379" spans="1:17">
      <c r="A379" t="s">
        <v>715</v>
      </c>
      <c r="B379" s="5" t="s">
        <v>716</v>
      </c>
      <c r="C379" t="s">
        <v>89</v>
      </c>
      <c r="D379" t="s">
        <v>60</v>
      </c>
      <c r="E379" t="s">
        <v>61</v>
      </c>
      <c r="F379" t="s">
        <v>154</v>
      </c>
      <c r="G379" t="s">
        <v>108</v>
      </c>
      <c r="H379" t="s">
        <v>21</v>
      </c>
      <c r="I379">
        <v>5</v>
      </c>
      <c r="J379">
        <v>3024</v>
      </c>
      <c r="K379">
        <v>0.04</v>
      </c>
      <c r="L379" s="9">
        <v>14515.2</v>
      </c>
      <c r="M379" s="9">
        <v>10448.620000000001</v>
      </c>
      <c r="N379" s="9">
        <v>4066.58</v>
      </c>
      <c r="O379">
        <f>MONTH(TblSales[[#This Row],[Date]])</f>
        <v>9</v>
      </c>
      <c r="P379" t="str">
        <f>TEXT(TblSales[[#This Row],[Date]],"mmm")</f>
        <v>Sep</v>
      </c>
      <c r="Q379">
        <f>YEAR(TblSales[[#This Row],[Date]])</f>
        <v>2025</v>
      </c>
    </row>
    <row r="380" spans="1:17">
      <c r="A380" t="s">
        <v>717</v>
      </c>
      <c r="B380" s="5" t="s">
        <v>718</v>
      </c>
      <c r="C380" t="s">
        <v>32</v>
      </c>
      <c r="D380" t="s">
        <v>60</v>
      </c>
      <c r="E380" t="s">
        <v>102</v>
      </c>
      <c r="F380" t="s">
        <v>389</v>
      </c>
      <c r="G380" t="s">
        <v>108</v>
      </c>
      <c r="H380" t="s">
        <v>21</v>
      </c>
      <c r="I380">
        <v>3</v>
      </c>
      <c r="J380">
        <v>4269</v>
      </c>
      <c r="K380">
        <v>0.11</v>
      </c>
      <c r="L380" s="9">
        <v>11398.23</v>
      </c>
      <c r="M380" s="9">
        <v>8814.23</v>
      </c>
      <c r="N380" s="9">
        <v>2584</v>
      </c>
      <c r="O380">
        <f>MONTH(TblSales[[#This Row],[Date]])</f>
        <v>4</v>
      </c>
      <c r="P380" t="str">
        <f>TEXT(TblSales[[#This Row],[Date]],"mmm")</f>
        <v>Apr</v>
      </c>
      <c r="Q380">
        <f>YEAR(TblSales[[#This Row],[Date]])</f>
        <v>2025</v>
      </c>
    </row>
    <row r="381" spans="1:17">
      <c r="A381" t="s">
        <v>719</v>
      </c>
      <c r="B381" s="5" t="s">
        <v>720</v>
      </c>
      <c r="C381" t="s">
        <v>89</v>
      </c>
      <c r="D381" t="s">
        <v>25</v>
      </c>
      <c r="E381" t="s">
        <v>70</v>
      </c>
      <c r="F381" t="s">
        <v>320</v>
      </c>
      <c r="G381" t="s">
        <v>33</v>
      </c>
      <c r="H381" t="s">
        <v>29</v>
      </c>
      <c r="I381">
        <v>4</v>
      </c>
      <c r="J381">
        <v>28224</v>
      </c>
      <c r="K381">
        <v>0.12</v>
      </c>
      <c r="L381" s="9">
        <v>99348.479999999996</v>
      </c>
      <c r="M381" s="9">
        <v>72886.16</v>
      </c>
      <c r="N381" s="9">
        <v>26462.32</v>
      </c>
      <c r="O381">
        <f>MONTH(TblSales[[#This Row],[Date]])</f>
        <v>6</v>
      </c>
      <c r="P381" t="str">
        <f>TEXT(TblSales[[#This Row],[Date]],"mmm")</f>
        <v>Jun</v>
      </c>
      <c r="Q381">
        <f>YEAR(TblSales[[#This Row],[Date]])</f>
        <v>2025</v>
      </c>
    </row>
    <row r="382" spans="1:17">
      <c r="A382" t="s">
        <v>721</v>
      </c>
      <c r="B382" s="5" t="s">
        <v>722</v>
      </c>
      <c r="C382" t="s">
        <v>16</v>
      </c>
      <c r="D382" t="s">
        <v>25</v>
      </c>
      <c r="E382" t="s">
        <v>70</v>
      </c>
      <c r="F382" t="s">
        <v>320</v>
      </c>
      <c r="G382" t="s">
        <v>108</v>
      </c>
      <c r="H382" t="s">
        <v>29</v>
      </c>
      <c r="I382">
        <v>3</v>
      </c>
      <c r="J382">
        <v>55136</v>
      </c>
      <c r="K382">
        <v>0.12</v>
      </c>
      <c r="L382" s="9">
        <v>145559.04000000001</v>
      </c>
      <c r="M382" s="9">
        <v>114780.62</v>
      </c>
      <c r="N382" s="9">
        <v>30778.42</v>
      </c>
      <c r="O382">
        <f>MONTH(TblSales[[#This Row],[Date]])</f>
        <v>2</v>
      </c>
      <c r="P382" t="str">
        <f>TEXT(TblSales[[#This Row],[Date]],"mmm")</f>
        <v>Feb</v>
      </c>
      <c r="Q382">
        <f>YEAR(TblSales[[#This Row],[Date]])</f>
        <v>2025</v>
      </c>
    </row>
    <row r="383" spans="1:17">
      <c r="A383" t="s">
        <v>723</v>
      </c>
      <c r="B383" s="5" t="s">
        <v>216</v>
      </c>
      <c r="C383" t="s">
        <v>16</v>
      </c>
      <c r="D383" t="s">
        <v>17</v>
      </c>
      <c r="E383" t="s">
        <v>74</v>
      </c>
      <c r="F383" t="s">
        <v>368</v>
      </c>
      <c r="G383" t="s">
        <v>67</v>
      </c>
      <c r="H383" t="s">
        <v>29</v>
      </c>
      <c r="I383">
        <v>4</v>
      </c>
      <c r="J383">
        <v>56110</v>
      </c>
      <c r="K383">
        <v>0.1</v>
      </c>
      <c r="L383" s="9">
        <v>201996</v>
      </c>
      <c r="M383" s="9">
        <v>143017.81</v>
      </c>
      <c r="N383" s="9">
        <v>58978.19</v>
      </c>
      <c r="O383">
        <f>MONTH(TblSales[[#This Row],[Date]])</f>
        <v>9</v>
      </c>
      <c r="P383" t="str">
        <f>TEXT(TblSales[[#This Row],[Date]],"mmm")</f>
        <v>Sep</v>
      </c>
      <c r="Q383">
        <f>YEAR(TblSales[[#This Row],[Date]])</f>
        <v>2025</v>
      </c>
    </row>
    <row r="384" spans="1:17">
      <c r="A384" t="s">
        <v>724</v>
      </c>
      <c r="B384" s="5" t="s">
        <v>725</v>
      </c>
      <c r="C384" t="s">
        <v>37</v>
      </c>
      <c r="D384" t="s">
        <v>53</v>
      </c>
      <c r="E384" t="s">
        <v>148</v>
      </c>
      <c r="F384" t="s">
        <v>242</v>
      </c>
      <c r="G384" t="s">
        <v>108</v>
      </c>
      <c r="H384" t="s">
        <v>34</v>
      </c>
      <c r="I384">
        <v>3</v>
      </c>
      <c r="J384">
        <v>44628</v>
      </c>
      <c r="K384">
        <v>0.14000000000000001</v>
      </c>
      <c r="L384" s="9">
        <v>115140.24</v>
      </c>
      <c r="M384" s="9">
        <v>102832.34</v>
      </c>
      <c r="N384" s="9">
        <v>12307.9</v>
      </c>
      <c r="O384">
        <f>MONTH(TblSales[[#This Row],[Date]])</f>
        <v>3</v>
      </c>
      <c r="P384" t="str">
        <f>TEXT(TblSales[[#This Row],[Date]],"mmm")</f>
        <v>Mar</v>
      </c>
      <c r="Q384">
        <f>YEAR(TblSales[[#This Row],[Date]])</f>
        <v>2025</v>
      </c>
    </row>
    <row r="385" spans="1:17">
      <c r="A385" t="s">
        <v>726</v>
      </c>
      <c r="B385" s="5" t="s">
        <v>211</v>
      </c>
      <c r="C385" t="s">
        <v>89</v>
      </c>
      <c r="D385" t="s">
        <v>17</v>
      </c>
      <c r="E385" t="s">
        <v>48</v>
      </c>
      <c r="F385" t="s">
        <v>49</v>
      </c>
      <c r="G385" t="s">
        <v>20</v>
      </c>
      <c r="H385" t="s">
        <v>56</v>
      </c>
      <c r="I385">
        <v>4</v>
      </c>
      <c r="J385">
        <v>40058</v>
      </c>
      <c r="K385">
        <v>0.11</v>
      </c>
      <c r="L385" s="9">
        <v>142606.48000000001</v>
      </c>
      <c r="M385" s="9">
        <v>120666.79</v>
      </c>
      <c r="N385" s="9">
        <v>21939.69</v>
      </c>
      <c r="O385">
        <f>MONTH(TblSales[[#This Row],[Date]])</f>
        <v>2</v>
      </c>
      <c r="P385" t="str">
        <f>TEXT(TblSales[[#This Row],[Date]],"mmm")</f>
        <v>Feb</v>
      </c>
      <c r="Q385">
        <f>YEAR(TblSales[[#This Row],[Date]])</f>
        <v>2025</v>
      </c>
    </row>
    <row r="386" spans="1:17">
      <c r="A386" t="s">
        <v>727</v>
      </c>
      <c r="B386" s="5" t="s">
        <v>728</v>
      </c>
      <c r="C386" t="s">
        <v>52</v>
      </c>
      <c r="D386" t="s">
        <v>25</v>
      </c>
      <c r="E386" t="s">
        <v>81</v>
      </c>
      <c r="F386" t="s">
        <v>377</v>
      </c>
      <c r="G386" t="s">
        <v>28</v>
      </c>
      <c r="H386" t="s">
        <v>56</v>
      </c>
      <c r="I386">
        <v>2</v>
      </c>
      <c r="J386">
        <v>55720</v>
      </c>
      <c r="K386">
        <v>0.05</v>
      </c>
      <c r="L386" s="9">
        <v>105868</v>
      </c>
      <c r="M386" s="9">
        <v>90074.92</v>
      </c>
      <c r="N386" s="9">
        <v>15793.08</v>
      </c>
      <c r="O386">
        <f>MONTH(TblSales[[#This Row],[Date]])</f>
        <v>1</v>
      </c>
      <c r="P386" t="str">
        <f>TEXT(TblSales[[#This Row],[Date]],"mmm")</f>
        <v>Jan</v>
      </c>
      <c r="Q386">
        <f>YEAR(TblSales[[#This Row],[Date]])</f>
        <v>2025</v>
      </c>
    </row>
    <row r="387" spans="1:17">
      <c r="A387" t="s">
        <v>729</v>
      </c>
      <c r="B387" s="5" t="s">
        <v>404</v>
      </c>
      <c r="C387" t="s">
        <v>24</v>
      </c>
      <c r="D387" t="s">
        <v>60</v>
      </c>
      <c r="E387" t="s">
        <v>106</v>
      </c>
      <c r="F387" t="s">
        <v>441</v>
      </c>
      <c r="G387" t="s">
        <v>20</v>
      </c>
      <c r="H387" t="s">
        <v>56</v>
      </c>
      <c r="I387">
        <v>4</v>
      </c>
      <c r="J387">
        <v>3975</v>
      </c>
      <c r="K387">
        <v>0.1</v>
      </c>
      <c r="L387" s="9">
        <v>14310</v>
      </c>
      <c r="M387" s="9">
        <v>10332.66</v>
      </c>
      <c r="N387" s="9">
        <v>3977.34</v>
      </c>
      <c r="O387">
        <f>MONTH(TblSales[[#This Row],[Date]])</f>
        <v>3</v>
      </c>
      <c r="P387" t="str">
        <f>TEXT(TblSales[[#This Row],[Date]],"mmm")</f>
        <v>Mar</v>
      </c>
      <c r="Q387">
        <f>YEAR(TblSales[[#This Row],[Date]])</f>
        <v>2025</v>
      </c>
    </row>
    <row r="388" spans="1:17">
      <c r="A388" t="s">
        <v>730</v>
      </c>
      <c r="B388" s="5" t="s">
        <v>731</v>
      </c>
      <c r="C388" t="s">
        <v>89</v>
      </c>
      <c r="D388" t="s">
        <v>60</v>
      </c>
      <c r="E388" t="s">
        <v>65</v>
      </c>
      <c r="F388" t="s">
        <v>237</v>
      </c>
      <c r="G388" t="s">
        <v>67</v>
      </c>
      <c r="H388" t="s">
        <v>34</v>
      </c>
      <c r="I388">
        <v>4</v>
      </c>
      <c r="J388">
        <v>17979</v>
      </c>
      <c r="K388">
        <v>0.05</v>
      </c>
      <c r="L388" s="9">
        <v>68320.2</v>
      </c>
      <c r="M388" s="9">
        <v>54858.39</v>
      </c>
      <c r="N388" s="9">
        <v>13461.81</v>
      </c>
      <c r="O388">
        <f>MONTH(TblSales[[#This Row],[Date]])</f>
        <v>4</v>
      </c>
      <c r="P388" t="str">
        <f>TEXT(TblSales[[#This Row],[Date]],"mmm")</f>
        <v>Apr</v>
      </c>
      <c r="Q388">
        <f>YEAR(TblSales[[#This Row],[Date]])</f>
        <v>2025</v>
      </c>
    </row>
    <row r="389" spans="1:17">
      <c r="A389" t="s">
        <v>732</v>
      </c>
      <c r="B389" s="5" t="s">
        <v>197</v>
      </c>
      <c r="C389" t="s">
        <v>98</v>
      </c>
      <c r="D389" t="s">
        <v>60</v>
      </c>
      <c r="E389" t="s">
        <v>106</v>
      </c>
      <c r="F389" t="s">
        <v>209</v>
      </c>
      <c r="G389" t="s">
        <v>33</v>
      </c>
      <c r="H389" t="s">
        <v>29</v>
      </c>
      <c r="I389">
        <v>3</v>
      </c>
      <c r="J389">
        <v>31099</v>
      </c>
      <c r="K389">
        <v>0.05</v>
      </c>
      <c r="L389" s="9">
        <v>88632.15</v>
      </c>
      <c r="M389" s="9">
        <v>65241.82</v>
      </c>
      <c r="N389" s="9">
        <v>23390.33</v>
      </c>
      <c r="O389">
        <f>MONTH(TblSales[[#This Row],[Date]])</f>
        <v>9</v>
      </c>
      <c r="P389" t="str">
        <f>TEXT(TblSales[[#This Row],[Date]],"mmm")</f>
        <v>Sep</v>
      </c>
      <c r="Q389">
        <f>YEAR(TblSales[[#This Row],[Date]])</f>
        <v>2025</v>
      </c>
    </row>
    <row r="390" spans="1:17">
      <c r="A390" t="s">
        <v>733</v>
      </c>
      <c r="B390" s="5" t="s">
        <v>734</v>
      </c>
      <c r="C390" t="s">
        <v>113</v>
      </c>
      <c r="D390" t="s">
        <v>25</v>
      </c>
      <c r="E390" t="s">
        <v>81</v>
      </c>
      <c r="F390" t="s">
        <v>377</v>
      </c>
      <c r="G390" t="s">
        <v>45</v>
      </c>
      <c r="H390" t="s">
        <v>34</v>
      </c>
      <c r="I390">
        <v>4</v>
      </c>
      <c r="J390">
        <v>27843</v>
      </c>
      <c r="K390">
        <v>0.1</v>
      </c>
      <c r="L390" s="9">
        <v>100234.8</v>
      </c>
      <c r="M390" s="9">
        <v>84874.1</v>
      </c>
      <c r="N390" s="9">
        <v>15360.7</v>
      </c>
      <c r="O390">
        <f>MONTH(TblSales[[#This Row],[Date]])</f>
        <v>1</v>
      </c>
      <c r="P390" t="str">
        <f>TEXT(TblSales[[#This Row],[Date]],"mmm")</f>
        <v>Jan</v>
      </c>
      <c r="Q390">
        <f>YEAR(TblSales[[#This Row],[Date]])</f>
        <v>2025</v>
      </c>
    </row>
    <row r="391" spans="1:17">
      <c r="A391" t="s">
        <v>735</v>
      </c>
      <c r="B391" s="5" t="s">
        <v>736</v>
      </c>
      <c r="C391" t="s">
        <v>24</v>
      </c>
      <c r="D391" t="s">
        <v>17</v>
      </c>
      <c r="E391" t="s">
        <v>38</v>
      </c>
      <c r="F391" t="s">
        <v>96</v>
      </c>
      <c r="G391" t="s">
        <v>20</v>
      </c>
      <c r="H391" t="s">
        <v>34</v>
      </c>
      <c r="I391">
        <v>4</v>
      </c>
      <c r="J391">
        <v>11516</v>
      </c>
      <c r="K391">
        <v>0.12</v>
      </c>
      <c r="L391" s="9">
        <v>40536.32</v>
      </c>
      <c r="M391" s="9">
        <v>30842.59</v>
      </c>
      <c r="N391" s="9">
        <v>9693.73</v>
      </c>
      <c r="O391">
        <f>MONTH(TblSales[[#This Row],[Date]])</f>
        <v>6</v>
      </c>
      <c r="P391" t="str">
        <f>TEXT(TblSales[[#This Row],[Date]],"mmm")</f>
        <v>Jun</v>
      </c>
      <c r="Q391">
        <f>YEAR(TblSales[[#This Row],[Date]])</f>
        <v>2025</v>
      </c>
    </row>
    <row r="392" spans="1:17">
      <c r="A392" t="s">
        <v>737</v>
      </c>
      <c r="B392" s="5" t="s">
        <v>574</v>
      </c>
      <c r="C392" t="s">
        <v>113</v>
      </c>
      <c r="D392" t="s">
        <v>60</v>
      </c>
      <c r="E392" t="s">
        <v>102</v>
      </c>
      <c r="F392" t="s">
        <v>103</v>
      </c>
      <c r="G392" t="s">
        <v>108</v>
      </c>
      <c r="H392" t="s">
        <v>21</v>
      </c>
      <c r="I392">
        <v>1</v>
      </c>
      <c r="J392">
        <v>3461</v>
      </c>
      <c r="K392">
        <v>0.05</v>
      </c>
      <c r="L392" s="9">
        <v>3287.95</v>
      </c>
      <c r="M392" s="9">
        <v>2425.2800000000002</v>
      </c>
      <c r="N392" s="9">
        <v>862.67</v>
      </c>
      <c r="O392">
        <f>MONTH(TblSales[[#This Row],[Date]])</f>
        <v>9</v>
      </c>
      <c r="P392" t="str">
        <f>TEXT(TblSales[[#This Row],[Date]],"mmm")</f>
        <v>Sep</v>
      </c>
      <c r="Q392">
        <f>YEAR(TblSales[[#This Row],[Date]])</f>
        <v>2025</v>
      </c>
    </row>
    <row r="393" spans="1:17">
      <c r="A393" t="s">
        <v>738</v>
      </c>
      <c r="B393" s="5" t="s">
        <v>664</v>
      </c>
      <c r="C393" t="s">
        <v>85</v>
      </c>
      <c r="D393" t="s">
        <v>60</v>
      </c>
      <c r="E393" t="s">
        <v>106</v>
      </c>
      <c r="F393" t="s">
        <v>174</v>
      </c>
      <c r="G393" t="s">
        <v>28</v>
      </c>
      <c r="H393" t="s">
        <v>29</v>
      </c>
      <c r="I393">
        <v>3</v>
      </c>
      <c r="J393">
        <v>10769</v>
      </c>
      <c r="K393">
        <v>0.06</v>
      </c>
      <c r="L393" s="9">
        <v>30368.58</v>
      </c>
      <c r="M393" s="9">
        <v>21971.14</v>
      </c>
      <c r="N393" s="9">
        <v>8397.44</v>
      </c>
      <c r="O393">
        <f>MONTH(TblSales[[#This Row],[Date]])</f>
        <v>3</v>
      </c>
      <c r="P393" t="str">
        <f>TEXT(TblSales[[#This Row],[Date]],"mmm")</f>
        <v>Mar</v>
      </c>
      <c r="Q393">
        <f>YEAR(TblSales[[#This Row],[Date]])</f>
        <v>2025</v>
      </c>
    </row>
    <row r="394" spans="1:17">
      <c r="A394" t="s">
        <v>739</v>
      </c>
      <c r="B394" s="5" t="s">
        <v>222</v>
      </c>
      <c r="C394" t="s">
        <v>113</v>
      </c>
      <c r="D394" t="s">
        <v>60</v>
      </c>
      <c r="E394" t="s">
        <v>106</v>
      </c>
      <c r="F394" t="s">
        <v>209</v>
      </c>
      <c r="G394" t="s">
        <v>67</v>
      </c>
      <c r="H394" t="s">
        <v>29</v>
      </c>
      <c r="I394">
        <v>1</v>
      </c>
      <c r="J394">
        <v>16972</v>
      </c>
      <c r="K394">
        <v>0.03</v>
      </c>
      <c r="L394" s="9">
        <v>16462.84</v>
      </c>
      <c r="M394" s="9">
        <v>12624.04</v>
      </c>
      <c r="N394" s="9">
        <v>3838.8</v>
      </c>
      <c r="O394">
        <f>MONTH(TblSales[[#This Row],[Date]])</f>
        <v>5</v>
      </c>
      <c r="P394" t="str">
        <f>TEXT(TblSales[[#This Row],[Date]],"mmm")</f>
        <v>May</v>
      </c>
      <c r="Q394">
        <f>YEAR(TblSales[[#This Row],[Date]])</f>
        <v>2025</v>
      </c>
    </row>
    <row r="395" spans="1:17">
      <c r="A395" t="s">
        <v>740</v>
      </c>
      <c r="B395" s="5" t="s">
        <v>443</v>
      </c>
      <c r="C395" t="s">
        <v>52</v>
      </c>
      <c r="D395" t="s">
        <v>53</v>
      </c>
      <c r="E395" t="s">
        <v>140</v>
      </c>
      <c r="F395" t="s">
        <v>217</v>
      </c>
      <c r="G395" t="s">
        <v>33</v>
      </c>
      <c r="H395" t="s">
        <v>21</v>
      </c>
      <c r="I395">
        <v>4</v>
      </c>
      <c r="J395">
        <v>51848</v>
      </c>
      <c r="K395">
        <v>0.05</v>
      </c>
      <c r="L395" s="9">
        <v>197022.4</v>
      </c>
      <c r="M395" s="9">
        <v>150521.06</v>
      </c>
      <c r="N395" s="9">
        <v>46501.34</v>
      </c>
      <c r="O395">
        <f>MONTH(TblSales[[#This Row],[Date]])</f>
        <v>8</v>
      </c>
      <c r="P395" t="str">
        <f>TEXT(TblSales[[#This Row],[Date]],"mmm")</f>
        <v>Aug</v>
      </c>
      <c r="Q395">
        <f>YEAR(TblSales[[#This Row],[Date]])</f>
        <v>2025</v>
      </c>
    </row>
    <row r="396" spans="1:17">
      <c r="A396" t="s">
        <v>741</v>
      </c>
      <c r="B396" s="5" t="s">
        <v>608</v>
      </c>
      <c r="C396" t="s">
        <v>16</v>
      </c>
      <c r="D396" t="s">
        <v>60</v>
      </c>
      <c r="E396" t="s">
        <v>102</v>
      </c>
      <c r="F396" t="s">
        <v>493</v>
      </c>
      <c r="G396" t="s">
        <v>45</v>
      </c>
      <c r="H396" t="s">
        <v>29</v>
      </c>
      <c r="I396">
        <v>2</v>
      </c>
      <c r="J396">
        <v>10985</v>
      </c>
      <c r="K396">
        <v>0.13</v>
      </c>
      <c r="L396" s="9">
        <v>19113.900000000001</v>
      </c>
      <c r="M396" s="9">
        <v>15877.02</v>
      </c>
      <c r="N396" s="9">
        <v>3236.88</v>
      </c>
      <c r="O396">
        <f>MONTH(TblSales[[#This Row],[Date]])</f>
        <v>1</v>
      </c>
      <c r="P396" t="str">
        <f>TEXT(TblSales[[#This Row],[Date]],"mmm")</f>
        <v>Jan</v>
      </c>
      <c r="Q396">
        <f>YEAR(TblSales[[#This Row],[Date]])</f>
        <v>2025</v>
      </c>
    </row>
    <row r="397" spans="1:17">
      <c r="A397" t="s">
        <v>742</v>
      </c>
      <c r="B397" s="5" t="s">
        <v>42</v>
      </c>
      <c r="C397" t="s">
        <v>52</v>
      </c>
      <c r="D397" t="s">
        <v>53</v>
      </c>
      <c r="E397" t="s">
        <v>148</v>
      </c>
      <c r="F397" t="s">
        <v>422</v>
      </c>
      <c r="G397" t="s">
        <v>28</v>
      </c>
      <c r="H397" t="s">
        <v>29</v>
      </c>
      <c r="I397">
        <v>5</v>
      </c>
      <c r="J397">
        <v>55158</v>
      </c>
      <c r="K397">
        <v>0.15</v>
      </c>
      <c r="L397" s="9">
        <v>234421.5</v>
      </c>
      <c r="M397" s="9">
        <v>195482.57</v>
      </c>
      <c r="N397" s="9">
        <v>38938.93</v>
      </c>
      <c r="O397">
        <f>MONTH(TblSales[[#This Row],[Date]])</f>
        <v>9</v>
      </c>
      <c r="P397" t="str">
        <f>TEXT(TblSales[[#This Row],[Date]],"mmm")</f>
        <v>Sep</v>
      </c>
      <c r="Q397">
        <f>YEAR(TblSales[[#This Row],[Date]])</f>
        <v>2025</v>
      </c>
    </row>
    <row r="398" spans="1:17">
      <c r="A398" t="s">
        <v>743</v>
      </c>
      <c r="B398" s="5" t="s">
        <v>219</v>
      </c>
      <c r="C398" t="s">
        <v>37</v>
      </c>
      <c r="D398" t="s">
        <v>17</v>
      </c>
      <c r="E398" t="s">
        <v>18</v>
      </c>
      <c r="F398" t="s">
        <v>298</v>
      </c>
      <c r="G398" t="s">
        <v>40</v>
      </c>
      <c r="H398" t="s">
        <v>29</v>
      </c>
      <c r="I398">
        <v>1</v>
      </c>
      <c r="J398">
        <v>10661</v>
      </c>
      <c r="K398">
        <v>0.06</v>
      </c>
      <c r="L398" s="9">
        <v>10021.34</v>
      </c>
      <c r="M398" s="9">
        <v>8647.33</v>
      </c>
      <c r="N398" s="9">
        <v>1374.01</v>
      </c>
      <c r="O398">
        <f>MONTH(TblSales[[#This Row],[Date]])</f>
        <v>8</v>
      </c>
      <c r="P398" t="str">
        <f>TEXT(TblSales[[#This Row],[Date]],"mmm")</f>
        <v>Aug</v>
      </c>
      <c r="Q398">
        <f>YEAR(TblSales[[#This Row],[Date]])</f>
        <v>2025</v>
      </c>
    </row>
    <row r="399" spans="1:17">
      <c r="A399" t="s">
        <v>744</v>
      </c>
      <c r="B399" s="5" t="s">
        <v>677</v>
      </c>
      <c r="C399" t="s">
        <v>89</v>
      </c>
      <c r="D399" t="s">
        <v>17</v>
      </c>
      <c r="E399" t="s">
        <v>38</v>
      </c>
      <c r="F399" t="s">
        <v>114</v>
      </c>
      <c r="G399" t="s">
        <v>20</v>
      </c>
      <c r="H399" t="s">
        <v>56</v>
      </c>
      <c r="I399">
        <v>5</v>
      </c>
      <c r="J399">
        <v>4691</v>
      </c>
      <c r="K399">
        <v>0.05</v>
      </c>
      <c r="L399" s="9">
        <v>22282.25</v>
      </c>
      <c r="M399" s="9">
        <v>16123.69</v>
      </c>
      <c r="N399" s="9">
        <v>6158.56</v>
      </c>
      <c r="O399">
        <f>MONTH(TblSales[[#This Row],[Date]])</f>
        <v>8</v>
      </c>
      <c r="P399" t="str">
        <f>TEXT(TblSales[[#This Row],[Date]],"mmm")</f>
        <v>Aug</v>
      </c>
      <c r="Q399">
        <f>YEAR(TblSales[[#This Row],[Date]])</f>
        <v>2025</v>
      </c>
    </row>
    <row r="400" spans="1:17">
      <c r="A400" t="s">
        <v>745</v>
      </c>
      <c r="B400" s="5" t="s">
        <v>270</v>
      </c>
      <c r="C400" t="s">
        <v>24</v>
      </c>
      <c r="D400" t="s">
        <v>53</v>
      </c>
      <c r="E400" t="s">
        <v>148</v>
      </c>
      <c r="F400" t="s">
        <v>534</v>
      </c>
      <c r="G400" t="s">
        <v>67</v>
      </c>
      <c r="H400" t="s">
        <v>29</v>
      </c>
      <c r="I400">
        <v>2</v>
      </c>
      <c r="J400">
        <v>30233</v>
      </c>
      <c r="K400">
        <v>0.11</v>
      </c>
      <c r="L400" s="9">
        <v>53814.74</v>
      </c>
      <c r="M400" s="9">
        <v>39027.99</v>
      </c>
      <c r="N400" s="9">
        <v>14786.75</v>
      </c>
      <c r="O400">
        <f>MONTH(TblSales[[#This Row],[Date]])</f>
        <v>10</v>
      </c>
      <c r="P400" t="str">
        <f>TEXT(TblSales[[#This Row],[Date]],"mmm")</f>
        <v>Oct</v>
      </c>
      <c r="Q400">
        <f>YEAR(TblSales[[#This Row],[Date]])</f>
        <v>2025</v>
      </c>
    </row>
    <row r="401" spans="1:17">
      <c r="A401" t="s">
        <v>746</v>
      </c>
      <c r="B401" s="5" t="s">
        <v>201</v>
      </c>
      <c r="C401" t="s">
        <v>98</v>
      </c>
      <c r="D401" t="s">
        <v>17</v>
      </c>
      <c r="E401" t="s">
        <v>74</v>
      </c>
      <c r="F401" t="s">
        <v>75</v>
      </c>
      <c r="G401" t="s">
        <v>33</v>
      </c>
      <c r="H401" t="s">
        <v>34</v>
      </c>
      <c r="I401">
        <v>4</v>
      </c>
      <c r="J401">
        <v>46575</v>
      </c>
      <c r="K401">
        <v>0.02</v>
      </c>
      <c r="L401" s="9">
        <v>182574</v>
      </c>
      <c r="M401" s="9">
        <v>147848.97</v>
      </c>
      <c r="N401" s="9">
        <v>34725.03</v>
      </c>
      <c r="O401">
        <f>MONTH(TblSales[[#This Row],[Date]])</f>
        <v>8</v>
      </c>
      <c r="P401" t="str">
        <f>TEXT(TblSales[[#This Row],[Date]],"mmm")</f>
        <v>Aug</v>
      </c>
      <c r="Q401">
        <f>YEAR(TblSales[[#This Row],[Date]])</f>
        <v>2025</v>
      </c>
    </row>
    <row r="402" spans="1:17">
      <c r="A402" t="s">
        <v>747</v>
      </c>
      <c r="B402" s="5" t="s">
        <v>725</v>
      </c>
      <c r="C402" t="s">
        <v>16</v>
      </c>
      <c r="D402" t="s">
        <v>25</v>
      </c>
      <c r="E402" t="s">
        <v>26</v>
      </c>
      <c r="F402" t="s">
        <v>99</v>
      </c>
      <c r="G402" t="s">
        <v>67</v>
      </c>
      <c r="H402" t="s">
        <v>34</v>
      </c>
      <c r="I402">
        <v>1</v>
      </c>
      <c r="J402">
        <v>43415</v>
      </c>
      <c r="K402">
        <v>0.09</v>
      </c>
      <c r="L402" s="9">
        <v>39507.65</v>
      </c>
      <c r="M402" s="9">
        <v>30398.66</v>
      </c>
      <c r="N402" s="9">
        <v>9108.99</v>
      </c>
      <c r="O402">
        <f>MONTH(TblSales[[#This Row],[Date]])</f>
        <v>3</v>
      </c>
      <c r="P402" t="str">
        <f>TEXT(TblSales[[#This Row],[Date]],"mmm")</f>
        <v>Mar</v>
      </c>
      <c r="Q402">
        <f>YEAR(TblSales[[#This Row],[Date]])</f>
        <v>2025</v>
      </c>
    </row>
    <row r="403" spans="1:17">
      <c r="A403" t="s">
        <v>748</v>
      </c>
      <c r="B403" s="5" t="s">
        <v>219</v>
      </c>
      <c r="C403" t="s">
        <v>52</v>
      </c>
      <c r="D403" t="s">
        <v>53</v>
      </c>
      <c r="E403" t="s">
        <v>54</v>
      </c>
      <c r="F403" t="s">
        <v>78</v>
      </c>
      <c r="G403" t="s">
        <v>108</v>
      </c>
      <c r="H403" t="s">
        <v>21</v>
      </c>
      <c r="I403">
        <v>5</v>
      </c>
      <c r="J403">
        <v>24128</v>
      </c>
      <c r="K403">
        <v>0.14000000000000001</v>
      </c>
      <c r="L403" s="9">
        <v>103750.39999999999</v>
      </c>
      <c r="M403" s="9">
        <v>74346.14</v>
      </c>
      <c r="N403" s="9">
        <v>29404.26</v>
      </c>
      <c r="O403">
        <f>MONTH(TblSales[[#This Row],[Date]])</f>
        <v>8</v>
      </c>
      <c r="P403" t="str">
        <f>TEXT(TblSales[[#This Row],[Date]],"mmm")</f>
        <v>Aug</v>
      </c>
      <c r="Q403">
        <f>YEAR(TblSales[[#This Row],[Date]])</f>
        <v>2025</v>
      </c>
    </row>
    <row r="404" spans="1:17">
      <c r="A404" t="s">
        <v>749</v>
      </c>
      <c r="B404" s="5" t="s">
        <v>488</v>
      </c>
      <c r="C404" t="s">
        <v>52</v>
      </c>
      <c r="D404" t="s">
        <v>25</v>
      </c>
      <c r="E404" t="s">
        <v>70</v>
      </c>
      <c r="F404" t="s">
        <v>320</v>
      </c>
      <c r="G404" t="s">
        <v>67</v>
      </c>
      <c r="H404" t="s">
        <v>21</v>
      </c>
      <c r="I404">
        <v>4</v>
      </c>
      <c r="J404">
        <v>12444</v>
      </c>
      <c r="K404">
        <v>0.05</v>
      </c>
      <c r="L404" s="9">
        <v>47287.199999999997</v>
      </c>
      <c r="M404" s="9">
        <v>39653.730000000003</v>
      </c>
      <c r="N404" s="9">
        <v>7633.47</v>
      </c>
      <c r="O404">
        <f>MONTH(TblSales[[#This Row],[Date]])</f>
        <v>7</v>
      </c>
      <c r="P404" t="str">
        <f>TEXT(TblSales[[#This Row],[Date]],"mmm")</f>
        <v>Jul</v>
      </c>
      <c r="Q404">
        <f>YEAR(TblSales[[#This Row],[Date]])</f>
        <v>2025</v>
      </c>
    </row>
    <row r="405" spans="1:17">
      <c r="A405" t="s">
        <v>750</v>
      </c>
      <c r="B405" s="5" t="s">
        <v>429</v>
      </c>
      <c r="C405" t="s">
        <v>113</v>
      </c>
      <c r="D405" t="s">
        <v>25</v>
      </c>
      <c r="E405" t="s">
        <v>26</v>
      </c>
      <c r="F405" t="s">
        <v>99</v>
      </c>
      <c r="G405" t="s">
        <v>108</v>
      </c>
      <c r="H405" t="s">
        <v>56</v>
      </c>
      <c r="I405">
        <v>5</v>
      </c>
      <c r="J405">
        <v>29025</v>
      </c>
      <c r="K405">
        <v>0.06</v>
      </c>
      <c r="L405" s="9">
        <v>136417.5</v>
      </c>
      <c r="M405" s="9">
        <v>98371.26</v>
      </c>
      <c r="N405" s="9">
        <v>38046.239999999998</v>
      </c>
      <c r="O405">
        <f>MONTH(TblSales[[#This Row],[Date]])</f>
        <v>3</v>
      </c>
      <c r="P405" t="str">
        <f>TEXT(TblSales[[#This Row],[Date]],"mmm")</f>
        <v>Mar</v>
      </c>
      <c r="Q405">
        <f>YEAR(TblSales[[#This Row],[Date]])</f>
        <v>2025</v>
      </c>
    </row>
    <row r="406" spans="1:17">
      <c r="A406" t="s">
        <v>751</v>
      </c>
      <c r="B406" s="5" t="s">
        <v>521</v>
      </c>
      <c r="C406" t="s">
        <v>37</v>
      </c>
      <c r="D406" t="s">
        <v>25</v>
      </c>
      <c r="E406" t="s">
        <v>70</v>
      </c>
      <c r="F406" t="s">
        <v>71</v>
      </c>
      <c r="G406" t="s">
        <v>119</v>
      </c>
      <c r="H406" t="s">
        <v>21</v>
      </c>
      <c r="I406">
        <v>2</v>
      </c>
      <c r="J406">
        <v>17778</v>
      </c>
      <c r="K406">
        <v>0.11</v>
      </c>
      <c r="L406" s="9">
        <v>31644.84</v>
      </c>
      <c r="M406" s="9">
        <v>27661.99</v>
      </c>
      <c r="N406" s="9">
        <v>3982.85</v>
      </c>
      <c r="O406">
        <f>MONTH(TblSales[[#This Row],[Date]])</f>
        <v>1</v>
      </c>
      <c r="P406" t="str">
        <f>TEXT(TblSales[[#This Row],[Date]],"mmm")</f>
        <v>Jan</v>
      </c>
      <c r="Q406">
        <f>YEAR(TblSales[[#This Row],[Date]])</f>
        <v>2025</v>
      </c>
    </row>
    <row r="407" spans="1:17">
      <c r="A407" t="s">
        <v>752</v>
      </c>
      <c r="B407" s="5" t="s">
        <v>294</v>
      </c>
      <c r="C407" t="s">
        <v>37</v>
      </c>
      <c r="D407" t="s">
        <v>53</v>
      </c>
      <c r="E407" t="s">
        <v>54</v>
      </c>
      <c r="F407" t="s">
        <v>78</v>
      </c>
      <c r="G407" t="s">
        <v>28</v>
      </c>
      <c r="H407" t="s">
        <v>34</v>
      </c>
      <c r="I407">
        <v>2</v>
      </c>
      <c r="J407">
        <v>55906</v>
      </c>
      <c r="K407">
        <v>7.0000000000000007E-2</v>
      </c>
      <c r="L407" s="9">
        <v>103985.16</v>
      </c>
      <c r="M407" s="9">
        <v>88920.41</v>
      </c>
      <c r="N407" s="9">
        <v>15064.75</v>
      </c>
      <c r="O407">
        <f>MONTH(TblSales[[#This Row],[Date]])</f>
        <v>2</v>
      </c>
      <c r="P407" t="str">
        <f>TEXT(TblSales[[#This Row],[Date]],"mmm")</f>
        <v>Feb</v>
      </c>
      <c r="Q407">
        <f>YEAR(TblSales[[#This Row],[Date]])</f>
        <v>2025</v>
      </c>
    </row>
    <row r="408" spans="1:17">
      <c r="A408" t="s">
        <v>753</v>
      </c>
      <c r="B408" s="5" t="s">
        <v>455</v>
      </c>
      <c r="C408" t="s">
        <v>85</v>
      </c>
      <c r="D408" t="s">
        <v>53</v>
      </c>
      <c r="E408" t="s">
        <v>54</v>
      </c>
      <c r="F408" t="s">
        <v>225</v>
      </c>
      <c r="G408" t="s">
        <v>119</v>
      </c>
      <c r="H408" t="s">
        <v>21</v>
      </c>
      <c r="I408">
        <v>3</v>
      </c>
      <c r="J408">
        <v>37622</v>
      </c>
      <c r="K408">
        <v>0.06</v>
      </c>
      <c r="L408" s="9">
        <v>106094.04</v>
      </c>
      <c r="M408" s="9">
        <v>85215.17</v>
      </c>
      <c r="N408" s="9">
        <v>20878.87</v>
      </c>
      <c r="O408">
        <f>MONTH(TblSales[[#This Row],[Date]])</f>
        <v>2</v>
      </c>
      <c r="P408" t="str">
        <f>TEXT(TblSales[[#This Row],[Date]],"mmm")</f>
        <v>Feb</v>
      </c>
      <c r="Q408">
        <f>YEAR(TblSales[[#This Row],[Date]])</f>
        <v>2025</v>
      </c>
    </row>
    <row r="409" spans="1:17">
      <c r="A409" t="s">
        <v>754</v>
      </c>
      <c r="B409" s="5" t="s">
        <v>488</v>
      </c>
      <c r="C409" t="s">
        <v>37</v>
      </c>
      <c r="D409" t="s">
        <v>53</v>
      </c>
      <c r="E409" t="s">
        <v>54</v>
      </c>
      <c r="F409" t="s">
        <v>116</v>
      </c>
      <c r="G409" t="s">
        <v>40</v>
      </c>
      <c r="H409" t="s">
        <v>29</v>
      </c>
      <c r="I409">
        <v>4</v>
      </c>
      <c r="J409">
        <v>54035</v>
      </c>
      <c r="K409">
        <v>0.04</v>
      </c>
      <c r="L409" s="9">
        <v>207494.39999999999</v>
      </c>
      <c r="M409" s="9">
        <v>161241.45000000001</v>
      </c>
      <c r="N409" s="9">
        <v>46252.95</v>
      </c>
      <c r="O409">
        <f>MONTH(TblSales[[#This Row],[Date]])</f>
        <v>7</v>
      </c>
      <c r="P409" t="str">
        <f>TEXT(TblSales[[#This Row],[Date]],"mmm")</f>
        <v>Jul</v>
      </c>
      <c r="Q409">
        <f>YEAR(TblSales[[#This Row],[Date]])</f>
        <v>2025</v>
      </c>
    </row>
    <row r="410" spans="1:17">
      <c r="A410" t="s">
        <v>755</v>
      </c>
      <c r="B410" s="5" t="s">
        <v>354</v>
      </c>
      <c r="C410" t="s">
        <v>98</v>
      </c>
      <c r="D410" t="s">
        <v>17</v>
      </c>
      <c r="E410" t="s">
        <v>38</v>
      </c>
      <c r="F410" t="s">
        <v>205</v>
      </c>
      <c r="G410" t="s">
        <v>33</v>
      </c>
      <c r="H410" t="s">
        <v>29</v>
      </c>
      <c r="I410">
        <v>5</v>
      </c>
      <c r="J410">
        <v>1874</v>
      </c>
      <c r="K410">
        <v>0.09</v>
      </c>
      <c r="L410" s="9">
        <v>8526.7000000000007</v>
      </c>
      <c r="M410" s="9">
        <v>7164.98</v>
      </c>
      <c r="N410" s="9">
        <v>1361.72</v>
      </c>
      <c r="O410">
        <f>MONTH(TblSales[[#This Row],[Date]])</f>
        <v>4</v>
      </c>
      <c r="P410" t="str">
        <f>TEXT(TblSales[[#This Row],[Date]],"mmm")</f>
        <v>Apr</v>
      </c>
      <c r="Q410">
        <f>YEAR(TblSales[[#This Row],[Date]])</f>
        <v>2025</v>
      </c>
    </row>
    <row r="411" spans="1:17">
      <c r="A411" t="s">
        <v>756</v>
      </c>
      <c r="B411" s="5" t="s">
        <v>638</v>
      </c>
      <c r="C411" t="s">
        <v>52</v>
      </c>
      <c r="D411" t="s">
        <v>53</v>
      </c>
      <c r="E411" t="s">
        <v>127</v>
      </c>
      <c r="F411" t="s">
        <v>131</v>
      </c>
      <c r="G411" t="s">
        <v>33</v>
      </c>
      <c r="H411" t="s">
        <v>34</v>
      </c>
      <c r="I411">
        <v>3</v>
      </c>
      <c r="J411">
        <v>32557</v>
      </c>
      <c r="K411">
        <v>0.11</v>
      </c>
      <c r="L411" s="9">
        <v>86927.19</v>
      </c>
      <c r="M411" s="9">
        <v>73654.37</v>
      </c>
      <c r="N411" s="9">
        <v>13272.82</v>
      </c>
      <c r="O411">
        <f>MONTH(TblSales[[#This Row],[Date]])</f>
        <v>9</v>
      </c>
      <c r="P411" t="str">
        <f>TEXT(TblSales[[#This Row],[Date]],"mmm")</f>
        <v>Sep</v>
      </c>
      <c r="Q411">
        <f>YEAR(TblSales[[#This Row],[Date]])</f>
        <v>2025</v>
      </c>
    </row>
    <row r="412" spans="1:17">
      <c r="A412" t="s">
        <v>757</v>
      </c>
      <c r="B412" s="5" t="s">
        <v>728</v>
      </c>
      <c r="C412" t="s">
        <v>32</v>
      </c>
      <c r="D412" t="s">
        <v>53</v>
      </c>
      <c r="E412" t="s">
        <v>54</v>
      </c>
      <c r="F412" t="s">
        <v>55</v>
      </c>
      <c r="G412" t="s">
        <v>40</v>
      </c>
      <c r="H412" t="s">
        <v>34</v>
      </c>
      <c r="I412">
        <v>3</v>
      </c>
      <c r="J412">
        <v>31973</v>
      </c>
      <c r="K412">
        <v>0.12</v>
      </c>
      <c r="L412" s="9">
        <v>84408.72</v>
      </c>
      <c r="M412" s="9">
        <v>73003.05</v>
      </c>
      <c r="N412" s="9">
        <v>11405.67</v>
      </c>
      <c r="O412">
        <f>MONTH(TblSales[[#This Row],[Date]])</f>
        <v>1</v>
      </c>
      <c r="P412" t="str">
        <f>TEXT(TblSales[[#This Row],[Date]],"mmm")</f>
        <v>Jan</v>
      </c>
      <c r="Q412">
        <f>YEAR(TblSales[[#This Row],[Date]])</f>
        <v>2025</v>
      </c>
    </row>
    <row r="413" spans="1:17">
      <c r="A413" t="s">
        <v>758</v>
      </c>
      <c r="B413" s="5" t="s">
        <v>199</v>
      </c>
      <c r="C413" t="s">
        <v>37</v>
      </c>
      <c r="D413" t="s">
        <v>25</v>
      </c>
      <c r="E413" t="s">
        <v>81</v>
      </c>
      <c r="F413" t="s">
        <v>377</v>
      </c>
      <c r="G413" t="s">
        <v>28</v>
      </c>
      <c r="H413" t="s">
        <v>56</v>
      </c>
      <c r="I413">
        <v>3</v>
      </c>
      <c r="J413">
        <v>3302</v>
      </c>
      <c r="K413">
        <v>0.02</v>
      </c>
      <c r="L413" s="9">
        <v>9707.8799999999992</v>
      </c>
      <c r="M413" s="9">
        <v>7695.18</v>
      </c>
      <c r="N413" s="9">
        <v>2012.7</v>
      </c>
      <c r="O413">
        <f>MONTH(TblSales[[#This Row],[Date]])</f>
        <v>3</v>
      </c>
      <c r="P413" t="str">
        <f>TEXT(TblSales[[#This Row],[Date]],"mmm")</f>
        <v>Mar</v>
      </c>
      <c r="Q413">
        <f>YEAR(TblSales[[#This Row],[Date]])</f>
        <v>2025</v>
      </c>
    </row>
    <row r="414" spans="1:17">
      <c r="A414" t="s">
        <v>759</v>
      </c>
      <c r="B414" s="5" t="s">
        <v>465</v>
      </c>
      <c r="C414" t="s">
        <v>85</v>
      </c>
      <c r="D414" t="s">
        <v>60</v>
      </c>
      <c r="E414" t="s">
        <v>102</v>
      </c>
      <c r="F414" t="s">
        <v>103</v>
      </c>
      <c r="G414" t="s">
        <v>45</v>
      </c>
      <c r="H414" t="s">
        <v>29</v>
      </c>
      <c r="I414">
        <v>1</v>
      </c>
      <c r="J414">
        <v>57461</v>
      </c>
      <c r="K414">
        <v>0.03</v>
      </c>
      <c r="L414" s="9">
        <v>55737.17</v>
      </c>
      <c r="M414" s="9">
        <v>44625.93</v>
      </c>
      <c r="N414" s="9">
        <v>11111.24</v>
      </c>
      <c r="O414">
        <f>MONTH(TblSales[[#This Row],[Date]])</f>
        <v>6</v>
      </c>
      <c r="P414" t="str">
        <f>TEXT(TblSales[[#This Row],[Date]],"mmm")</f>
        <v>Jun</v>
      </c>
      <c r="Q414">
        <f>YEAR(TblSales[[#This Row],[Date]])</f>
        <v>2025</v>
      </c>
    </row>
    <row r="415" spans="1:17">
      <c r="A415" t="s">
        <v>760</v>
      </c>
      <c r="B415" s="5" t="s">
        <v>677</v>
      </c>
      <c r="C415" t="s">
        <v>32</v>
      </c>
      <c r="D415" t="s">
        <v>60</v>
      </c>
      <c r="E415" t="s">
        <v>102</v>
      </c>
      <c r="F415" t="s">
        <v>303</v>
      </c>
      <c r="G415" t="s">
        <v>119</v>
      </c>
      <c r="H415" t="s">
        <v>34</v>
      </c>
      <c r="I415">
        <v>2</v>
      </c>
      <c r="J415">
        <v>17389</v>
      </c>
      <c r="K415">
        <v>0.13</v>
      </c>
      <c r="L415" s="9">
        <v>30256.86</v>
      </c>
      <c r="M415" s="9">
        <v>22006.959999999999</v>
      </c>
      <c r="N415" s="9">
        <v>8249.9</v>
      </c>
      <c r="O415">
        <f>MONTH(TblSales[[#This Row],[Date]])</f>
        <v>8</v>
      </c>
      <c r="P415" t="str">
        <f>TEXT(TblSales[[#This Row],[Date]],"mmm")</f>
        <v>Aug</v>
      </c>
      <c r="Q415">
        <f>YEAR(TblSales[[#This Row],[Date]])</f>
        <v>2025</v>
      </c>
    </row>
    <row r="416" spans="1:17">
      <c r="A416" t="s">
        <v>761</v>
      </c>
      <c r="B416" s="5" t="s">
        <v>585</v>
      </c>
      <c r="C416" t="s">
        <v>98</v>
      </c>
      <c r="D416" t="s">
        <v>60</v>
      </c>
      <c r="E416" t="s">
        <v>65</v>
      </c>
      <c r="F416" t="s">
        <v>237</v>
      </c>
      <c r="G416" t="s">
        <v>40</v>
      </c>
      <c r="H416" t="s">
        <v>29</v>
      </c>
      <c r="I416">
        <v>5</v>
      </c>
      <c r="J416">
        <v>11185</v>
      </c>
      <c r="K416">
        <v>0.12</v>
      </c>
      <c r="L416" s="9">
        <v>49214</v>
      </c>
      <c r="M416" s="9">
        <v>40754.06</v>
      </c>
      <c r="N416" s="9">
        <v>8459.94</v>
      </c>
      <c r="O416">
        <f>MONTH(TblSales[[#This Row],[Date]])</f>
        <v>8</v>
      </c>
      <c r="P416" t="str">
        <f>TEXT(TblSales[[#This Row],[Date]],"mmm")</f>
        <v>Aug</v>
      </c>
      <c r="Q416">
        <f>YEAR(TblSales[[#This Row],[Date]])</f>
        <v>2025</v>
      </c>
    </row>
    <row r="417" spans="1:17">
      <c r="A417" t="s">
        <v>762</v>
      </c>
      <c r="B417" s="5" t="s">
        <v>728</v>
      </c>
      <c r="C417" t="s">
        <v>52</v>
      </c>
      <c r="D417" t="s">
        <v>60</v>
      </c>
      <c r="E417" t="s">
        <v>61</v>
      </c>
      <c r="F417" t="s">
        <v>310</v>
      </c>
      <c r="G417" t="s">
        <v>40</v>
      </c>
      <c r="H417" t="s">
        <v>29</v>
      </c>
      <c r="I417">
        <v>4</v>
      </c>
      <c r="J417">
        <v>26743</v>
      </c>
      <c r="K417">
        <v>0.12</v>
      </c>
      <c r="L417" s="9">
        <v>94135.360000000001</v>
      </c>
      <c r="M417" s="9">
        <v>82161.820000000007</v>
      </c>
      <c r="N417" s="9">
        <v>11973.54</v>
      </c>
      <c r="O417">
        <f>MONTH(TblSales[[#This Row],[Date]])</f>
        <v>1</v>
      </c>
      <c r="P417" t="str">
        <f>TEXT(TblSales[[#This Row],[Date]],"mmm")</f>
        <v>Jan</v>
      </c>
      <c r="Q417">
        <f>YEAR(TblSales[[#This Row],[Date]])</f>
        <v>2025</v>
      </c>
    </row>
    <row r="418" spans="1:17">
      <c r="A418" t="s">
        <v>763</v>
      </c>
      <c r="B418" s="5" t="s">
        <v>244</v>
      </c>
      <c r="C418" t="s">
        <v>52</v>
      </c>
      <c r="D418" t="s">
        <v>53</v>
      </c>
      <c r="E418" t="s">
        <v>127</v>
      </c>
      <c r="F418" t="s">
        <v>128</v>
      </c>
      <c r="G418" t="s">
        <v>40</v>
      </c>
      <c r="H418" t="s">
        <v>29</v>
      </c>
      <c r="I418">
        <v>5</v>
      </c>
      <c r="J418">
        <v>44895</v>
      </c>
      <c r="K418">
        <v>0.05</v>
      </c>
      <c r="L418" s="9">
        <v>213251.25</v>
      </c>
      <c r="M418" s="9">
        <v>182203.89</v>
      </c>
      <c r="N418" s="9">
        <v>31047.360000000001</v>
      </c>
      <c r="O418">
        <f>MONTH(TblSales[[#This Row],[Date]])</f>
        <v>8</v>
      </c>
      <c r="P418" t="str">
        <f>TEXT(TblSales[[#This Row],[Date]],"mmm")</f>
        <v>Aug</v>
      </c>
      <c r="Q418">
        <f>YEAR(TblSales[[#This Row],[Date]])</f>
        <v>2025</v>
      </c>
    </row>
    <row r="419" spans="1:17">
      <c r="A419" t="s">
        <v>764</v>
      </c>
      <c r="B419" s="5" t="s">
        <v>714</v>
      </c>
      <c r="C419" t="s">
        <v>89</v>
      </c>
      <c r="D419" t="s">
        <v>60</v>
      </c>
      <c r="E419" t="s">
        <v>106</v>
      </c>
      <c r="F419" t="s">
        <v>441</v>
      </c>
      <c r="G419" t="s">
        <v>40</v>
      </c>
      <c r="H419" t="s">
        <v>34</v>
      </c>
      <c r="I419">
        <v>3</v>
      </c>
      <c r="J419">
        <v>30100</v>
      </c>
      <c r="K419">
        <v>0.03</v>
      </c>
      <c r="L419" s="9">
        <v>87591</v>
      </c>
      <c r="M419" s="9">
        <v>69415.72</v>
      </c>
      <c r="N419" s="9">
        <v>18175.28</v>
      </c>
      <c r="O419">
        <f>MONTH(TblSales[[#This Row],[Date]])</f>
        <v>6</v>
      </c>
      <c r="P419" t="str">
        <f>TEXT(TblSales[[#This Row],[Date]],"mmm")</f>
        <v>Jun</v>
      </c>
      <c r="Q419">
        <f>YEAR(TblSales[[#This Row],[Date]])</f>
        <v>2025</v>
      </c>
    </row>
    <row r="420" spans="1:17">
      <c r="A420" t="s">
        <v>765</v>
      </c>
      <c r="B420" s="5" t="s">
        <v>458</v>
      </c>
      <c r="C420" t="s">
        <v>24</v>
      </c>
      <c r="D420" t="s">
        <v>53</v>
      </c>
      <c r="E420" t="s">
        <v>140</v>
      </c>
      <c r="F420" t="s">
        <v>187</v>
      </c>
      <c r="G420" t="s">
        <v>108</v>
      </c>
      <c r="H420" t="s">
        <v>34</v>
      </c>
      <c r="I420">
        <v>1</v>
      </c>
      <c r="J420">
        <v>21222</v>
      </c>
      <c r="K420">
        <v>0.08</v>
      </c>
      <c r="L420" s="9">
        <v>19524.240000000002</v>
      </c>
      <c r="M420" s="9">
        <v>16551.919999999998</v>
      </c>
      <c r="N420" s="9">
        <v>2972.32</v>
      </c>
      <c r="O420">
        <f>MONTH(TblSales[[#This Row],[Date]])</f>
        <v>7</v>
      </c>
      <c r="P420" t="str">
        <f>TEXT(TblSales[[#This Row],[Date]],"mmm")</f>
        <v>Jul</v>
      </c>
      <c r="Q420">
        <f>YEAR(TblSales[[#This Row],[Date]])</f>
        <v>2025</v>
      </c>
    </row>
    <row r="421" spans="1:17">
      <c r="A421" t="s">
        <v>766</v>
      </c>
      <c r="B421" s="5" t="s">
        <v>315</v>
      </c>
      <c r="C421" t="s">
        <v>32</v>
      </c>
      <c r="D421" t="s">
        <v>60</v>
      </c>
      <c r="E421" t="s">
        <v>102</v>
      </c>
      <c r="F421" t="s">
        <v>389</v>
      </c>
      <c r="G421" t="s">
        <v>108</v>
      </c>
      <c r="H421" t="s">
        <v>34</v>
      </c>
      <c r="I421">
        <v>3</v>
      </c>
      <c r="J421">
        <v>27348</v>
      </c>
      <c r="K421">
        <v>0.12</v>
      </c>
      <c r="L421" s="9">
        <v>72198.720000000001</v>
      </c>
      <c r="M421" s="9">
        <v>60045.2</v>
      </c>
      <c r="N421" s="9">
        <v>12153.52</v>
      </c>
      <c r="O421">
        <f>MONTH(TblSales[[#This Row],[Date]])</f>
        <v>7</v>
      </c>
      <c r="P421" t="str">
        <f>TEXT(TblSales[[#This Row],[Date]],"mmm")</f>
        <v>Jul</v>
      </c>
      <c r="Q421">
        <f>YEAR(TblSales[[#This Row],[Date]])</f>
        <v>2025</v>
      </c>
    </row>
    <row r="422" spans="1:17">
      <c r="A422" t="s">
        <v>767</v>
      </c>
      <c r="B422" s="5" t="s">
        <v>768</v>
      </c>
      <c r="C422" t="s">
        <v>59</v>
      </c>
      <c r="D422" t="s">
        <v>17</v>
      </c>
      <c r="E422" t="s">
        <v>48</v>
      </c>
      <c r="F422" t="s">
        <v>579</v>
      </c>
      <c r="G422" t="s">
        <v>108</v>
      </c>
      <c r="H422" t="s">
        <v>56</v>
      </c>
      <c r="I422">
        <v>1</v>
      </c>
      <c r="J422">
        <v>48453</v>
      </c>
      <c r="K422">
        <v>0.05</v>
      </c>
      <c r="L422" s="9">
        <v>46030.35</v>
      </c>
      <c r="M422" s="9">
        <v>40393.64</v>
      </c>
      <c r="N422" s="9">
        <v>5636.71</v>
      </c>
      <c r="O422">
        <f>MONTH(TblSales[[#This Row],[Date]])</f>
        <v>6</v>
      </c>
      <c r="P422" t="str">
        <f>TEXT(TblSales[[#This Row],[Date]],"mmm")</f>
        <v>Jun</v>
      </c>
      <c r="Q422">
        <f>YEAR(TblSales[[#This Row],[Date]])</f>
        <v>2025</v>
      </c>
    </row>
    <row r="423" spans="1:17">
      <c r="A423" t="s">
        <v>769</v>
      </c>
      <c r="B423" s="5" t="s">
        <v>606</v>
      </c>
      <c r="C423" t="s">
        <v>24</v>
      </c>
      <c r="D423" t="s">
        <v>17</v>
      </c>
      <c r="E423" t="s">
        <v>18</v>
      </c>
      <c r="F423" t="s">
        <v>86</v>
      </c>
      <c r="G423" t="s">
        <v>33</v>
      </c>
      <c r="H423" t="s">
        <v>29</v>
      </c>
      <c r="I423">
        <v>2</v>
      </c>
      <c r="J423">
        <v>47732</v>
      </c>
      <c r="K423">
        <v>0.02</v>
      </c>
      <c r="L423" s="9">
        <v>93554.72</v>
      </c>
      <c r="M423" s="9">
        <v>72861.94</v>
      </c>
      <c r="N423" s="9">
        <v>20692.78</v>
      </c>
      <c r="O423">
        <f>MONTH(TblSales[[#This Row],[Date]])</f>
        <v>2</v>
      </c>
      <c r="P423" t="str">
        <f>TEXT(TblSales[[#This Row],[Date]],"mmm")</f>
        <v>Feb</v>
      </c>
      <c r="Q423">
        <f>YEAR(TblSales[[#This Row],[Date]])</f>
        <v>2025</v>
      </c>
    </row>
    <row r="424" spans="1:17">
      <c r="A424" t="s">
        <v>770</v>
      </c>
      <c r="B424" s="5" t="s">
        <v>771</v>
      </c>
      <c r="C424" t="s">
        <v>24</v>
      </c>
      <c r="D424" t="s">
        <v>17</v>
      </c>
      <c r="E424" t="s">
        <v>18</v>
      </c>
      <c r="F424" t="s">
        <v>266</v>
      </c>
      <c r="G424" t="s">
        <v>119</v>
      </c>
      <c r="H424" t="s">
        <v>29</v>
      </c>
      <c r="I424">
        <v>3</v>
      </c>
      <c r="J424">
        <v>27277</v>
      </c>
      <c r="K424">
        <v>0.13</v>
      </c>
      <c r="L424" s="9">
        <v>71192.97</v>
      </c>
      <c r="M424" s="9">
        <v>57971.47</v>
      </c>
      <c r="N424" s="9">
        <v>13221.5</v>
      </c>
      <c r="O424">
        <f>MONTH(TblSales[[#This Row],[Date]])</f>
        <v>3</v>
      </c>
      <c r="P424" t="str">
        <f>TEXT(TblSales[[#This Row],[Date]],"mmm")</f>
        <v>Mar</v>
      </c>
      <c r="Q424">
        <f>YEAR(TblSales[[#This Row],[Date]])</f>
        <v>2025</v>
      </c>
    </row>
    <row r="425" spans="1:17">
      <c r="A425" t="s">
        <v>772</v>
      </c>
      <c r="B425" s="5" t="s">
        <v>362</v>
      </c>
      <c r="C425" t="s">
        <v>113</v>
      </c>
      <c r="D425" t="s">
        <v>17</v>
      </c>
      <c r="E425" t="s">
        <v>74</v>
      </c>
      <c r="F425" t="s">
        <v>539</v>
      </c>
      <c r="G425" t="s">
        <v>28</v>
      </c>
      <c r="H425" t="s">
        <v>34</v>
      </c>
      <c r="I425">
        <v>2</v>
      </c>
      <c r="J425">
        <v>43899</v>
      </c>
      <c r="K425">
        <v>0.05</v>
      </c>
      <c r="L425" s="9">
        <v>83408.100000000006</v>
      </c>
      <c r="M425" s="9">
        <v>69431.47</v>
      </c>
      <c r="N425" s="9">
        <v>13976.63</v>
      </c>
      <c r="O425">
        <f>MONTH(TblSales[[#This Row],[Date]])</f>
        <v>6</v>
      </c>
      <c r="P425" t="str">
        <f>TEXT(TblSales[[#This Row],[Date]],"mmm")</f>
        <v>Jun</v>
      </c>
      <c r="Q425">
        <f>YEAR(TblSales[[#This Row],[Date]])</f>
        <v>2025</v>
      </c>
    </row>
    <row r="426" spans="1:17">
      <c r="A426" t="s">
        <v>773</v>
      </c>
      <c r="B426" s="5" t="s">
        <v>585</v>
      </c>
      <c r="C426" t="s">
        <v>52</v>
      </c>
      <c r="D426" t="s">
        <v>60</v>
      </c>
      <c r="E426" t="s">
        <v>106</v>
      </c>
      <c r="F426" t="s">
        <v>107</v>
      </c>
      <c r="G426" t="s">
        <v>33</v>
      </c>
      <c r="H426" t="s">
        <v>34</v>
      </c>
      <c r="I426">
        <v>3</v>
      </c>
      <c r="J426">
        <v>40520</v>
      </c>
      <c r="K426">
        <v>0.08</v>
      </c>
      <c r="L426" s="9">
        <v>111835.2</v>
      </c>
      <c r="M426" s="9">
        <v>90889.81</v>
      </c>
      <c r="N426" s="9">
        <v>20945.39</v>
      </c>
      <c r="O426">
        <f>MONTH(TblSales[[#This Row],[Date]])</f>
        <v>8</v>
      </c>
      <c r="P426" t="str">
        <f>TEXT(TblSales[[#This Row],[Date]],"mmm")</f>
        <v>Aug</v>
      </c>
      <c r="Q426">
        <f>YEAR(TblSales[[#This Row],[Date]])</f>
        <v>2025</v>
      </c>
    </row>
    <row r="427" spans="1:17">
      <c r="A427" t="s">
        <v>774</v>
      </c>
      <c r="B427" s="5" t="s">
        <v>775</v>
      </c>
      <c r="C427" t="s">
        <v>24</v>
      </c>
      <c r="D427" t="s">
        <v>25</v>
      </c>
      <c r="E427" t="s">
        <v>43</v>
      </c>
      <c r="F427" t="s">
        <v>220</v>
      </c>
      <c r="G427" t="s">
        <v>33</v>
      </c>
      <c r="H427" t="s">
        <v>21</v>
      </c>
      <c r="I427">
        <v>4</v>
      </c>
      <c r="J427">
        <v>37411</v>
      </c>
      <c r="K427">
        <v>0.1</v>
      </c>
      <c r="L427" s="9">
        <v>134679.6</v>
      </c>
      <c r="M427" s="9">
        <v>95145.79</v>
      </c>
      <c r="N427" s="9">
        <v>39533.81</v>
      </c>
      <c r="O427">
        <f>MONTH(TblSales[[#This Row],[Date]])</f>
        <v>8</v>
      </c>
      <c r="P427" t="str">
        <f>TEXT(TblSales[[#This Row],[Date]],"mmm")</f>
        <v>Aug</v>
      </c>
      <c r="Q427">
        <f>YEAR(TblSales[[#This Row],[Date]])</f>
        <v>2025</v>
      </c>
    </row>
    <row r="428" spans="1:17">
      <c r="A428" t="s">
        <v>776</v>
      </c>
      <c r="B428" s="5" t="s">
        <v>236</v>
      </c>
      <c r="C428" t="s">
        <v>98</v>
      </c>
      <c r="D428" t="s">
        <v>53</v>
      </c>
      <c r="E428" t="s">
        <v>54</v>
      </c>
      <c r="F428" t="s">
        <v>225</v>
      </c>
      <c r="G428" t="s">
        <v>33</v>
      </c>
      <c r="H428" t="s">
        <v>29</v>
      </c>
      <c r="I428">
        <v>3</v>
      </c>
      <c r="J428">
        <v>13399</v>
      </c>
      <c r="K428">
        <v>0.04</v>
      </c>
      <c r="L428" s="9">
        <v>38589.120000000003</v>
      </c>
      <c r="M428" s="9">
        <v>33706.32</v>
      </c>
      <c r="N428" s="9">
        <v>4882.8</v>
      </c>
      <c r="O428">
        <f>MONTH(TblSales[[#This Row],[Date]])</f>
        <v>10</v>
      </c>
      <c r="P428" t="str">
        <f>TEXT(TblSales[[#This Row],[Date]],"mmm")</f>
        <v>Oct</v>
      </c>
      <c r="Q428">
        <f>YEAR(TblSales[[#This Row],[Date]])</f>
        <v>2025</v>
      </c>
    </row>
    <row r="429" spans="1:17">
      <c r="A429" t="s">
        <v>777</v>
      </c>
      <c r="B429" s="5" t="s">
        <v>367</v>
      </c>
      <c r="C429" t="s">
        <v>37</v>
      </c>
      <c r="D429" t="s">
        <v>60</v>
      </c>
      <c r="E429" t="s">
        <v>61</v>
      </c>
      <c r="F429" t="s">
        <v>310</v>
      </c>
      <c r="G429" t="s">
        <v>119</v>
      </c>
      <c r="H429" t="s">
        <v>34</v>
      </c>
      <c r="I429">
        <v>4</v>
      </c>
      <c r="J429">
        <v>33710</v>
      </c>
      <c r="K429">
        <v>0.06</v>
      </c>
      <c r="L429" s="9">
        <v>126749.6</v>
      </c>
      <c r="M429" s="9">
        <v>100606.73</v>
      </c>
      <c r="N429" s="9">
        <v>26142.87</v>
      </c>
      <c r="O429">
        <f>MONTH(TblSales[[#This Row],[Date]])</f>
        <v>2</v>
      </c>
      <c r="P429" t="str">
        <f>TEXT(TblSales[[#This Row],[Date]],"mmm")</f>
        <v>Feb</v>
      </c>
      <c r="Q429">
        <f>YEAR(TblSales[[#This Row],[Date]])</f>
        <v>2025</v>
      </c>
    </row>
    <row r="430" spans="1:17">
      <c r="A430" t="s">
        <v>778</v>
      </c>
      <c r="B430" s="5" t="s">
        <v>572</v>
      </c>
      <c r="C430" t="s">
        <v>85</v>
      </c>
      <c r="D430" t="s">
        <v>17</v>
      </c>
      <c r="E430" t="s">
        <v>18</v>
      </c>
      <c r="F430" t="s">
        <v>298</v>
      </c>
      <c r="G430" t="s">
        <v>119</v>
      </c>
      <c r="H430" t="s">
        <v>21</v>
      </c>
      <c r="I430">
        <v>2</v>
      </c>
      <c r="J430">
        <v>58795</v>
      </c>
      <c r="K430">
        <v>0.02</v>
      </c>
      <c r="L430" s="9">
        <v>115238.2</v>
      </c>
      <c r="M430" s="9">
        <v>99699.63</v>
      </c>
      <c r="N430" s="9">
        <v>15538.57</v>
      </c>
      <c r="O430">
        <f>MONTH(TblSales[[#This Row],[Date]])</f>
        <v>4</v>
      </c>
      <c r="P430" t="str">
        <f>TEXT(TblSales[[#This Row],[Date]],"mmm")</f>
        <v>Apr</v>
      </c>
      <c r="Q430">
        <f>YEAR(TblSales[[#This Row],[Date]])</f>
        <v>2025</v>
      </c>
    </row>
    <row r="431" spans="1:17">
      <c r="A431" t="s">
        <v>779</v>
      </c>
      <c r="B431" s="5" t="s">
        <v>638</v>
      </c>
      <c r="C431" t="s">
        <v>85</v>
      </c>
      <c r="D431" t="s">
        <v>25</v>
      </c>
      <c r="E431" t="s">
        <v>26</v>
      </c>
      <c r="F431" t="s">
        <v>99</v>
      </c>
      <c r="G431" t="s">
        <v>40</v>
      </c>
      <c r="H431" t="s">
        <v>21</v>
      </c>
      <c r="I431">
        <v>4</v>
      </c>
      <c r="J431">
        <v>25993</v>
      </c>
      <c r="K431">
        <v>0.03</v>
      </c>
      <c r="L431" s="9">
        <v>100852.84</v>
      </c>
      <c r="M431" s="9">
        <v>87434.97</v>
      </c>
      <c r="N431" s="9">
        <v>13417.87</v>
      </c>
      <c r="O431">
        <f>MONTH(TblSales[[#This Row],[Date]])</f>
        <v>9</v>
      </c>
      <c r="P431" t="str">
        <f>TEXT(TblSales[[#This Row],[Date]],"mmm")</f>
        <v>Sep</v>
      </c>
      <c r="Q431">
        <f>YEAR(TblSales[[#This Row],[Date]])</f>
        <v>2025</v>
      </c>
    </row>
    <row r="432" spans="1:17">
      <c r="A432" t="s">
        <v>780</v>
      </c>
      <c r="B432" s="5" t="s">
        <v>781</v>
      </c>
      <c r="C432" t="s">
        <v>59</v>
      </c>
      <c r="D432" t="s">
        <v>60</v>
      </c>
      <c r="E432" t="s">
        <v>65</v>
      </c>
      <c r="F432" t="s">
        <v>90</v>
      </c>
      <c r="G432" t="s">
        <v>20</v>
      </c>
      <c r="H432" t="s">
        <v>56</v>
      </c>
      <c r="I432">
        <v>5</v>
      </c>
      <c r="J432">
        <v>8466</v>
      </c>
      <c r="K432">
        <v>7.0000000000000007E-2</v>
      </c>
      <c r="L432" s="9">
        <v>39366.9</v>
      </c>
      <c r="M432" s="9">
        <v>29724.61</v>
      </c>
      <c r="N432" s="9">
        <v>9642.2900000000009</v>
      </c>
      <c r="O432">
        <f>MONTH(TblSales[[#This Row],[Date]])</f>
        <v>5</v>
      </c>
      <c r="P432" t="str">
        <f>TEXT(TblSales[[#This Row],[Date]],"mmm")</f>
        <v>May</v>
      </c>
      <c r="Q432">
        <f>YEAR(TblSales[[#This Row],[Date]])</f>
        <v>2025</v>
      </c>
    </row>
    <row r="433" spans="1:17">
      <c r="A433" t="s">
        <v>782</v>
      </c>
      <c r="B433" s="5" t="s">
        <v>471</v>
      </c>
      <c r="C433" t="s">
        <v>59</v>
      </c>
      <c r="D433" t="s">
        <v>17</v>
      </c>
      <c r="E433" t="s">
        <v>48</v>
      </c>
      <c r="F433" t="s">
        <v>579</v>
      </c>
      <c r="G433" t="s">
        <v>28</v>
      </c>
      <c r="H433" t="s">
        <v>34</v>
      </c>
      <c r="I433">
        <v>5</v>
      </c>
      <c r="J433">
        <v>19751</v>
      </c>
      <c r="K433">
        <v>0.13</v>
      </c>
      <c r="L433" s="9">
        <v>85916.85</v>
      </c>
      <c r="M433" s="9">
        <v>73245.22</v>
      </c>
      <c r="N433" s="9">
        <v>12671.63</v>
      </c>
      <c r="O433">
        <f>MONTH(TblSales[[#This Row],[Date]])</f>
        <v>8</v>
      </c>
      <c r="P433" t="str">
        <f>TEXT(TblSales[[#This Row],[Date]],"mmm")</f>
        <v>Aug</v>
      </c>
      <c r="Q433">
        <f>YEAR(TblSales[[#This Row],[Date]])</f>
        <v>2025</v>
      </c>
    </row>
    <row r="434" spans="1:17">
      <c r="A434" t="s">
        <v>783</v>
      </c>
      <c r="B434" s="5" t="s">
        <v>784</v>
      </c>
      <c r="C434" t="s">
        <v>37</v>
      </c>
      <c r="D434" t="s">
        <v>17</v>
      </c>
      <c r="E434" t="s">
        <v>48</v>
      </c>
      <c r="F434" t="s">
        <v>162</v>
      </c>
      <c r="G434" t="s">
        <v>40</v>
      </c>
      <c r="H434" t="s">
        <v>34</v>
      </c>
      <c r="I434">
        <v>5</v>
      </c>
      <c r="J434">
        <v>16227</v>
      </c>
      <c r="K434">
        <v>0.13</v>
      </c>
      <c r="L434" s="9">
        <v>70587.45</v>
      </c>
      <c r="M434" s="9">
        <v>52188.58</v>
      </c>
      <c r="N434" s="9">
        <v>18398.87</v>
      </c>
      <c r="O434">
        <f>MONTH(TblSales[[#This Row],[Date]])</f>
        <v>5</v>
      </c>
      <c r="P434" t="str">
        <f>TEXT(TblSales[[#This Row],[Date]],"mmm")</f>
        <v>May</v>
      </c>
      <c r="Q434">
        <f>YEAR(TblSales[[#This Row],[Date]])</f>
        <v>2025</v>
      </c>
    </row>
    <row r="435" spans="1:17">
      <c r="A435" t="s">
        <v>785</v>
      </c>
      <c r="B435" s="5" t="s">
        <v>652</v>
      </c>
      <c r="C435" t="s">
        <v>16</v>
      </c>
      <c r="D435" t="s">
        <v>25</v>
      </c>
      <c r="E435" t="s">
        <v>70</v>
      </c>
      <c r="F435" t="s">
        <v>195</v>
      </c>
      <c r="G435" t="s">
        <v>33</v>
      </c>
      <c r="H435" t="s">
        <v>21</v>
      </c>
      <c r="I435">
        <v>5</v>
      </c>
      <c r="J435">
        <v>25320</v>
      </c>
      <c r="K435">
        <v>0.05</v>
      </c>
      <c r="L435" s="9">
        <v>120270</v>
      </c>
      <c r="M435" s="9">
        <v>102571.54</v>
      </c>
      <c r="N435" s="9">
        <v>17698.46</v>
      </c>
      <c r="O435">
        <f>MONTH(TblSales[[#This Row],[Date]])</f>
        <v>6</v>
      </c>
      <c r="P435" t="str">
        <f>TEXT(TblSales[[#This Row],[Date]],"mmm")</f>
        <v>Jun</v>
      </c>
      <c r="Q435">
        <f>YEAR(TblSales[[#This Row],[Date]])</f>
        <v>2025</v>
      </c>
    </row>
    <row r="436" spans="1:17">
      <c r="A436" t="s">
        <v>786</v>
      </c>
      <c r="B436" s="5" t="s">
        <v>787</v>
      </c>
      <c r="C436" t="s">
        <v>98</v>
      </c>
      <c r="D436" t="s">
        <v>60</v>
      </c>
      <c r="E436" t="s">
        <v>61</v>
      </c>
      <c r="F436" t="s">
        <v>310</v>
      </c>
      <c r="G436" t="s">
        <v>45</v>
      </c>
      <c r="H436" t="s">
        <v>29</v>
      </c>
      <c r="I436">
        <v>3</v>
      </c>
      <c r="J436">
        <v>57666</v>
      </c>
      <c r="K436">
        <v>0.04</v>
      </c>
      <c r="L436" s="9">
        <v>166078.07999999999</v>
      </c>
      <c r="M436" s="9">
        <v>141820.95000000001</v>
      </c>
      <c r="N436" s="9">
        <v>24257.13</v>
      </c>
      <c r="O436">
        <f>MONTH(TblSales[[#This Row],[Date]])</f>
        <v>2</v>
      </c>
      <c r="P436" t="str">
        <f>TEXT(TblSales[[#This Row],[Date]],"mmm")</f>
        <v>Feb</v>
      </c>
      <c r="Q436">
        <f>YEAR(TblSales[[#This Row],[Date]])</f>
        <v>2025</v>
      </c>
    </row>
    <row r="437" spans="1:17">
      <c r="A437" t="s">
        <v>788</v>
      </c>
      <c r="B437" s="5" t="s">
        <v>58</v>
      </c>
      <c r="C437" t="s">
        <v>52</v>
      </c>
      <c r="D437" t="s">
        <v>25</v>
      </c>
      <c r="E437" t="s">
        <v>26</v>
      </c>
      <c r="F437" t="s">
        <v>27</v>
      </c>
      <c r="G437" t="s">
        <v>33</v>
      </c>
      <c r="H437" t="s">
        <v>29</v>
      </c>
      <c r="I437">
        <v>4</v>
      </c>
      <c r="J437">
        <v>23584</v>
      </c>
      <c r="K437">
        <v>0.06</v>
      </c>
      <c r="L437" s="9">
        <v>88675.839999999997</v>
      </c>
      <c r="M437" s="9">
        <v>79750.8</v>
      </c>
      <c r="N437" s="9">
        <v>8925.0400000000009</v>
      </c>
      <c r="O437">
        <f>MONTH(TblSales[[#This Row],[Date]])</f>
        <v>1</v>
      </c>
      <c r="P437" t="str">
        <f>TEXT(TblSales[[#This Row],[Date]],"mmm")</f>
        <v>Jan</v>
      </c>
      <c r="Q437">
        <f>YEAR(TblSales[[#This Row],[Date]])</f>
        <v>2025</v>
      </c>
    </row>
    <row r="438" spans="1:17">
      <c r="A438" t="s">
        <v>789</v>
      </c>
      <c r="B438" s="5" t="s">
        <v>287</v>
      </c>
      <c r="C438" t="s">
        <v>32</v>
      </c>
      <c r="D438" t="s">
        <v>25</v>
      </c>
      <c r="E438" t="s">
        <v>81</v>
      </c>
      <c r="F438" t="s">
        <v>348</v>
      </c>
      <c r="G438" t="s">
        <v>108</v>
      </c>
      <c r="H438" t="s">
        <v>56</v>
      </c>
      <c r="I438">
        <v>1</v>
      </c>
      <c r="J438">
        <v>14308</v>
      </c>
      <c r="K438">
        <v>0.05</v>
      </c>
      <c r="L438" s="9">
        <v>13592.6</v>
      </c>
      <c r="M438" s="9">
        <v>10560.41</v>
      </c>
      <c r="N438" s="9">
        <v>3032.19</v>
      </c>
      <c r="O438">
        <f>MONTH(TblSales[[#This Row],[Date]])</f>
        <v>1</v>
      </c>
      <c r="P438" t="str">
        <f>TEXT(TblSales[[#This Row],[Date]],"mmm")</f>
        <v>Jan</v>
      </c>
      <c r="Q438">
        <f>YEAR(TblSales[[#This Row],[Date]])</f>
        <v>2025</v>
      </c>
    </row>
    <row r="439" spans="1:17">
      <c r="A439" t="s">
        <v>790</v>
      </c>
      <c r="B439" s="5" t="s">
        <v>156</v>
      </c>
      <c r="C439" t="s">
        <v>59</v>
      </c>
      <c r="D439" t="s">
        <v>17</v>
      </c>
      <c r="E439" t="s">
        <v>18</v>
      </c>
      <c r="F439" t="s">
        <v>266</v>
      </c>
      <c r="G439" t="s">
        <v>20</v>
      </c>
      <c r="H439" t="s">
        <v>29</v>
      </c>
      <c r="I439">
        <v>1</v>
      </c>
      <c r="J439">
        <v>8484</v>
      </c>
      <c r="K439">
        <v>7.0000000000000007E-2</v>
      </c>
      <c r="L439" s="9">
        <v>7890.12</v>
      </c>
      <c r="M439" s="9">
        <v>6964.86</v>
      </c>
      <c r="N439" s="9">
        <v>925.26</v>
      </c>
      <c r="O439">
        <f>MONTH(TblSales[[#This Row],[Date]])</f>
        <v>6</v>
      </c>
      <c r="P439" t="str">
        <f>TEXT(TblSales[[#This Row],[Date]],"mmm")</f>
        <v>Jun</v>
      </c>
      <c r="Q439">
        <f>YEAR(TblSales[[#This Row],[Date]])</f>
        <v>2025</v>
      </c>
    </row>
    <row r="440" spans="1:17">
      <c r="A440" t="s">
        <v>791</v>
      </c>
      <c r="B440" s="5" t="s">
        <v>568</v>
      </c>
      <c r="C440" t="s">
        <v>85</v>
      </c>
      <c r="D440" t="s">
        <v>25</v>
      </c>
      <c r="E440" t="s">
        <v>81</v>
      </c>
      <c r="F440" t="s">
        <v>82</v>
      </c>
      <c r="G440" t="s">
        <v>108</v>
      </c>
      <c r="H440" t="s">
        <v>34</v>
      </c>
      <c r="I440">
        <v>2</v>
      </c>
      <c r="J440">
        <v>23196</v>
      </c>
      <c r="K440">
        <v>7.0000000000000007E-2</v>
      </c>
      <c r="L440" s="9">
        <v>43144.56</v>
      </c>
      <c r="M440" s="9">
        <v>37621.07</v>
      </c>
      <c r="N440" s="9">
        <v>5523.49</v>
      </c>
      <c r="O440">
        <f>MONTH(TblSales[[#This Row],[Date]])</f>
        <v>5</v>
      </c>
      <c r="P440" t="str">
        <f>TEXT(TblSales[[#This Row],[Date]],"mmm")</f>
        <v>May</v>
      </c>
      <c r="Q440">
        <f>YEAR(TblSales[[#This Row],[Date]])</f>
        <v>2025</v>
      </c>
    </row>
    <row r="441" spans="1:17">
      <c r="A441" t="s">
        <v>792</v>
      </c>
      <c r="B441" s="5" t="s">
        <v>531</v>
      </c>
      <c r="C441" t="s">
        <v>32</v>
      </c>
      <c r="D441" t="s">
        <v>53</v>
      </c>
      <c r="E441" t="s">
        <v>54</v>
      </c>
      <c r="F441" t="s">
        <v>78</v>
      </c>
      <c r="G441" t="s">
        <v>119</v>
      </c>
      <c r="H441" t="s">
        <v>29</v>
      </c>
      <c r="I441">
        <v>2</v>
      </c>
      <c r="J441">
        <v>43366</v>
      </c>
      <c r="K441">
        <v>0.14000000000000001</v>
      </c>
      <c r="L441" s="9">
        <v>74589.52</v>
      </c>
      <c r="M441" s="9">
        <v>53820.24</v>
      </c>
      <c r="N441" s="9">
        <v>20769.28</v>
      </c>
      <c r="O441">
        <f>MONTH(TblSales[[#This Row],[Date]])</f>
        <v>10</v>
      </c>
      <c r="P441" t="str">
        <f>TEXT(TblSales[[#This Row],[Date]],"mmm")</f>
        <v>Oct</v>
      </c>
      <c r="Q441">
        <f>YEAR(TblSales[[#This Row],[Date]])</f>
        <v>2025</v>
      </c>
    </row>
    <row r="442" spans="1:17">
      <c r="A442" t="s">
        <v>793</v>
      </c>
      <c r="B442" s="5" t="s">
        <v>281</v>
      </c>
      <c r="C442" t="s">
        <v>59</v>
      </c>
      <c r="D442" t="s">
        <v>60</v>
      </c>
      <c r="E442" t="s">
        <v>61</v>
      </c>
      <c r="F442" t="s">
        <v>310</v>
      </c>
      <c r="G442" t="s">
        <v>40</v>
      </c>
      <c r="H442" t="s">
        <v>21</v>
      </c>
      <c r="I442">
        <v>5</v>
      </c>
      <c r="J442">
        <v>59077</v>
      </c>
      <c r="K442">
        <v>0.05</v>
      </c>
      <c r="L442" s="9">
        <v>280615.75</v>
      </c>
      <c r="M442" s="9">
        <v>219651.78</v>
      </c>
      <c r="N442" s="9">
        <v>60963.97</v>
      </c>
      <c r="O442">
        <f>MONTH(TblSales[[#This Row],[Date]])</f>
        <v>9</v>
      </c>
      <c r="P442" t="str">
        <f>TEXT(TblSales[[#This Row],[Date]],"mmm")</f>
        <v>Sep</v>
      </c>
      <c r="Q442">
        <f>YEAR(TblSales[[#This Row],[Date]])</f>
        <v>2025</v>
      </c>
    </row>
    <row r="443" spans="1:17">
      <c r="A443" t="s">
        <v>794</v>
      </c>
      <c r="B443" s="5" t="s">
        <v>47</v>
      </c>
      <c r="C443" t="s">
        <v>98</v>
      </c>
      <c r="D443" t="s">
        <v>53</v>
      </c>
      <c r="E443" t="s">
        <v>127</v>
      </c>
      <c r="F443" t="s">
        <v>137</v>
      </c>
      <c r="G443" t="s">
        <v>40</v>
      </c>
      <c r="H443" t="s">
        <v>34</v>
      </c>
      <c r="I443">
        <v>2</v>
      </c>
      <c r="J443">
        <v>29436</v>
      </c>
      <c r="K443">
        <v>0.04</v>
      </c>
      <c r="L443" s="9">
        <v>56517.120000000003</v>
      </c>
      <c r="M443" s="9">
        <v>40896.29</v>
      </c>
      <c r="N443" s="9">
        <v>15620.83</v>
      </c>
      <c r="O443">
        <f>MONTH(TblSales[[#This Row],[Date]])</f>
        <v>6</v>
      </c>
      <c r="P443" t="str">
        <f>TEXT(TblSales[[#This Row],[Date]],"mmm")</f>
        <v>Jun</v>
      </c>
      <c r="Q443">
        <f>YEAR(TblSales[[#This Row],[Date]])</f>
        <v>2025</v>
      </c>
    </row>
    <row r="444" spans="1:17">
      <c r="A444" t="s">
        <v>795</v>
      </c>
      <c r="B444" s="5" t="s">
        <v>281</v>
      </c>
      <c r="C444" t="s">
        <v>24</v>
      </c>
      <c r="D444" t="s">
        <v>17</v>
      </c>
      <c r="E444" t="s">
        <v>48</v>
      </c>
      <c r="F444" t="s">
        <v>172</v>
      </c>
      <c r="G444" t="s">
        <v>108</v>
      </c>
      <c r="H444" t="s">
        <v>29</v>
      </c>
      <c r="I444">
        <v>1</v>
      </c>
      <c r="J444">
        <v>42002</v>
      </c>
      <c r="K444">
        <v>0.14000000000000001</v>
      </c>
      <c r="L444" s="9">
        <v>36121.72</v>
      </c>
      <c r="M444" s="9">
        <v>30383.18</v>
      </c>
      <c r="N444" s="9">
        <v>5738.54</v>
      </c>
      <c r="O444">
        <f>MONTH(TblSales[[#This Row],[Date]])</f>
        <v>9</v>
      </c>
      <c r="P444" t="str">
        <f>TEXT(TblSales[[#This Row],[Date]],"mmm")</f>
        <v>Sep</v>
      </c>
      <c r="Q444">
        <f>YEAR(TblSales[[#This Row],[Date]])</f>
        <v>2025</v>
      </c>
    </row>
    <row r="445" spans="1:17">
      <c r="A445" t="s">
        <v>796</v>
      </c>
      <c r="B445" s="5" t="s">
        <v>797</v>
      </c>
      <c r="C445" t="s">
        <v>37</v>
      </c>
      <c r="D445" t="s">
        <v>25</v>
      </c>
      <c r="E445" t="s">
        <v>26</v>
      </c>
      <c r="F445" t="s">
        <v>99</v>
      </c>
      <c r="G445" t="s">
        <v>40</v>
      </c>
      <c r="H445" t="s">
        <v>34</v>
      </c>
      <c r="I445">
        <v>2</v>
      </c>
      <c r="J445">
        <v>29754</v>
      </c>
      <c r="K445">
        <v>0.03</v>
      </c>
      <c r="L445" s="9">
        <v>57722.76</v>
      </c>
      <c r="M445" s="9">
        <v>43397.440000000002</v>
      </c>
      <c r="N445" s="9">
        <v>14325.32</v>
      </c>
      <c r="O445">
        <f>MONTH(TblSales[[#This Row],[Date]])</f>
        <v>5</v>
      </c>
      <c r="P445" t="str">
        <f>TEXT(TblSales[[#This Row],[Date]],"mmm")</f>
        <v>May</v>
      </c>
      <c r="Q445">
        <f>YEAR(TblSales[[#This Row],[Date]])</f>
        <v>2025</v>
      </c>
    </row>
    <row r="446" spans="1:17">
      <c r="A446" t="s">
        <v>798</v>
      </c>
      <c r="B446" s="5" t="s">
        <v>799</v>
      </c>
      <c r="C446" t="s">
        <v>52</v>
      </c>
      <c r="D446" t="s">
        <v>25</v>
      </c>
      <c r="E446" t="s">
        <v>81</v>
      </c>
      <c r="F446" t="s">
        <v>93</v>
      </c>
      <c r="G446" t="s">
        <v>119</v>
      </c>
      <c r="H446" t="s">
        <v>21</v>
      </c>
      <c r="I446">
        <v>3</v>
      </c>
      <c r="J446">
        <v>28144</v>
      </c>
      <c r="K446">
        <v>0.15</v>
      </c>
      <c r="L446" s="9">
        <v>71767.199999999997</v>
      </c>
      <c r="M446" s="9">
        <v>57991.89</v>
      </c>
      <c r="N446" s="9">
        <v>13775.31</v>
      </c>
      <c r="O446">
        <f>MONTH(TblSales[[#This Row],[Date]])</f>
        <v>9</v>
      </c>
      <c r="P446" t="str">
        <f>TEXT(TblSales[[#This Row],[Date]],"mmm")</f>
        <v>Sep</v>
      </c>
      <c r="Q446">
        <f>YEAR(TblSales[[#This Row],[Date]])</f>
        <v>2025</v>
      </c>
    </row>
    <row r="447" spans="1:17">
      <c r="A447" t="s">
        <v>800</v>
      </c>
      <c r="B447" s="5" t="s">
        <v>801</v>
      </c>
      <c r="C447" t="s">
        <v>52</v>
      </c>
      <c r="D447" t="s">
        <v>25</v>
      </c>
      <c r="E447" t="s">
        <v>26</v>
      </c>
      <c r="F447" t="s">
        <v>27</v>
      </c>
      <c r="G447" t="s">
        <v>40</v>
      </c>
      <c r="H447" t="s">
        <v>56</v>
      </c>
      <c r="I447">
        <v>1</v>
      </c>
      <c r="J447">
        <v>17214</v>
      </c>
      <c r="K447">
        <v>0.11</v>
      </c>
      <c r="L447" s="9">
        <v>15320.46</v>
      </c>
      <c r="M447" s="9">
        <v>13465.79</v>
      </c>
      <c r="N447" s="9">
        <v>1854.67</v>
      </c>
      <c r="O447">
        <f>MONTH(TblSales[[#This Row],[Date]])</f>
        <v>2</v>
      </c>
      <c r="P447" t="str">
        <f>TEXT(TblSales[[#This Row],[Date]],"mmm")</f>
        <v>Feb</v>
      </c>
      <c r="Q447">
        <f>YEAR(TblSales[[#This Row],[Date]])</f>
        <v>2025</v>
      </c>
    </row>
    <row r="448" spans="1:17">
      <c r="A448" t="s">
        <v>802</v>
      </c>
      <c r="B448" s="5" t="s">
        <v>488</v>
      </c>
      <c r="C448" t="s">
        <v>16</v>
      </c>
      <c r="D448" t="s">
        <v>53</v>
      </c>
      <c r="E448" t="s">
        <v>140</v>
      </c>
      <c r="F448" t="s">
        <v>165</v>
      </c>
      <c r="G448" t="s">
        <v>20</v>
      </c>
      <c r="H448" t="s">
        <v>21</v>
      </c>
      <c r="I448">
        <v>4</v>
      </c>
      <c r="J448">
        <v>40585</v>
      </c>
      <c r="K448">
        <v>0.12</v>
      </c>
      <c r="L448" s="9">
        <v>142859.20000000001</v>
      </c>
      <c r="M448" s="9">
        <v>112842.57</v>
      </c>
      <c r="N448" s="9">
        <v>30016.63</v>
      </c>
      <c r="O448">
        <f>MONTH(TblSales[[#This Row],[Date]])</f>
        <v>7</v>
      </c>
      <c r="P448" t="str">
        <f>TEXT(TblSales[[#This Row],[Date]],"mmm")</f>
        <v>Jul</v>
      </c>
      <c r="Q448">
        <f>YEAR(TblSales[[#This Row],[Date]])</f>
        <v>2025</v>
      </c>
    </row>
    <row r="449" spans="1:17">
      <c r="A449" t="s">
        <v>803</v>
      </c>
      <c r="B449" s="5" t="s">
        <v>462</v>
      </c>
      <c r="C449" t="s">
        <v>89</v>
      </c>
      <c r="D449" t="s">
        <v>60</v>
      </c>
      <c r="E449" t="s">
        <v>61</v>
      </c>
      <c r="F449" t="s">
        <v>154</v>
      </c>
      <c r="G449" t="s">
        <v>119</v>
      </c>
      <c r="H449" t="s">
        <v>34</v>
      </c>
      <c r="I449">
        <v>5</v>
      </c>
      <c r="J449">
        <v>7269</v>
      </c>
      <c r="K449">
        <v>0.09</v>
      </c>
      <c r="L449" s="9">
        <v>33073.949999999997</v>
      </c>
      <c r="M449" s="9">
        <v>24976.47</v>
      </c>
      <c r="N449" s="9">
        <v>8097.48</v>
      </c>
      <c r="O449">
        <f>MONTH(TblSales[[#This Row],[Date]])</f>
        <v>6</v>
      </c>
      <c r="P449" t="str">
        <f>TEXT(TblSales[[#This Row],[Date]],"mmm")</f>
        <v>Jun</v>
      </c>
      <c r="Q449">
        <f>YEAR(TblSales[[#This Row],[Date]])</f>
        <v>2025</v>
      </c>
    </row>
    <row r="450" spans="1:17">
      <c r="A450" t="s">
        <v>804</v>
      </c>
      <c r="B450" s="5" t="s">
        <v>805</v>
      </c>
      <c r="C450" t="s">
        <v>59</v>
      </c>
      <c r="D450" t="s">
        <v>25</v>
      </c>
      <c r="E450" t="s">
        <v>43</v>
      </c>
      <c r="F450" t="s">
        <v>44</v>
      </c>
      <c r="G450" t="s">
        <v>67</v>
      </c>
      <c r="H450" t="s">
        <v>34</v>
      </c>
      <c r="I450">
        <v>5</v>
      </c>
      <c r="J450">
        <v>57518</v>
      </c>
      <c r="K450">
        <v>0.05</v>
      </c>
      <c r="L450" s="9">
        <v>273210.5</v>
      </c>
      <c r="M450" s="9">
        <v>191593.82</v>
      </c>
      <c r="N450" s="9">
        <v>81616.679999999993</v>
      </c>
      <c r="O450">
        <f>MONTH(TblSales[[#This Row],[Date]])</f>
        <v>6</v>
      </c>
      <c r="P450" t="str">
        <f>TEXT(TblSales[[#This Row],[Date]],"mmm")</f>
        <v>Jun</v>
      </c>
      <c r="Q450">
        <f>YEAR(TblSales[[#This Row],[Date]])</f>
        <v>2025</v>
      </c>
    </row>
    <row r="451" spans="1:17">
      <c r="A451" t="s">
        <v>806</v>
      </c>
      <c r="B451" s="5" t="s">
        <v>447</v>
      </c>
      <c r="C451" t="s">
        <v>85</v>
      </c>
      <c r="D451" t="s">
        <v>25</v>
      </c>
      <c r="E451" t="s">
        <v>26</v>
      </c>
      <c r="F451" t="s">
        <v>99</v>
      </c>
      <c r="G451" t="s">
        <v>67</v>
      </c>
      <c r="H451" t="s">
        <v>21</v>
      </c>
      <c r="I451">
        <v>2</v>
      </c>
      <c r="J451">
        <v>35527</v>
      </c>
      <c r="K451">
        <v>0.06</v>
      </c>
      <c r="L451" s="9">
        <v>66790.759999999995</v>
      </c>
      <c r="M451" s="9">
        <v>51143.25</v>
      </c>
      <c r="N451" s="9">
        <v>15647.51</v>
      </c>
      <c r="O451">
        <f>MONTH(TblSales[[#This Row],[Date]])</f>
        <v>6</v>
      </c>
      <c r="P451" t="str">
        <f>TEXT(TblSales[[#This Row],[Date]],"mmm")</f>
        <v>Jun</v>
      </c>
      <c r="Q451">
        <f>YEAR(TblSales[[#This Row],[Date]])</f>
        <v>2025</v>
      </c>
    </row>
    <row r="452" spans="1:17">
      <c r="A452" t="s">
        <v>807</v>
      </c>
      <c r="B452" s="5" t="s">
        <v>483</v>
      </c>
      <c r="C452" t="s">
        <v>85</v>
      </c>
      <c r="D452" t="s">
        <v>60</v>
      </c>
      <c r="E452" t="s">
        <v>65</v>
      </c>
      <c r="F452" t="s">
        <v>237</v>
      </c>
      <c r="G452" t="s">
        <v>33</v>
      </c>
      <c r="H452" t="s">
        <v>56</v>
      </c>
      <c r="I452">
        <v>4</v>
      </c>
      <c r="J452">
        <v>39557</v>
      </c>
      <c r="K452">
        <v>0.12</v>
      </c>
      <c r="L452" s="9">
        <v>139240.64000000001</v>
      </c>
      <c r="M452" s="9">
        <v>100650.84</v>
      </c>
      <c r="N452" s="9">
        <v>38589.800000000003</v>
      </c>
      <c r="O452">
        <f>MONTH(TblSales[[#This Row],[Date]])</f>
        <v>8</v>
      </c>
      <c r="P452" t="str">
        <f>TEXT(TblSales[[#This Row],[Date]],"mmm")</f>
        <v>Aug</v>
      </c>
      <c r="Q452">
        <f>YEAR(TblSales[[#This Row],[Date]])</f>
        <v>2025</v>
      </c>
    </row>
    <row r="453" spans="1:17">
      <c r="A453" t="s">
        <v>808</v>
      </c>
      <c r="B453" s="5" t="s">
        <v>809</v>
      </c>
      <c r="C453" t="s">
        <v>37</v>
      </c>
      <c r="D453" t="s">
        <v>60</v>
      </c>
      <c r="E453" t="s">
        <v>65</v>
      </c>
      <c r="F453" t="s">
        <v>237</v>
      </c>
      <c r="G453" t="s">
        <v>33</v>
      </c>
      <c r="H453" t="s">
        <v>56</v>
      </c>
      <c r="I453">
        <v>1</v>
      </c>
      <c r="J453">
        <v>19352</v>
      </c>
      <c r="K453">
        <v>0.05</v>
      </c>
      <c r="L453" s="9">
        <v>18384.400000000001</v>
      </c>
      <c r="M453" s="9">
        <v>15423.51</v>
      </c>
      <c r="N453" s="9">
        <v>2960.89</v>
      </c>
      <c r="O453">
        <f>MONTH(TblSales[[#This Row],[Date]])</f>
        <v>7</v>
      </c>
      <c r="P453" t="str">
        <f>TEXT(TblSales[[#This Row],[Date]],"mmm")</f>
        <v>Jul</v>
      </c>
      <c r="Q453">
        <f>YEAR(TblSales[[#This Row],[Date]])</f>
        <v>2025</v>
      </c>
    </row>
    <row r="454" spans="1:17">
      <c r="A454" t="s">
        <v>810</v>
      </c>
      <c r="B454" s="5" t="s">
        <v>219</v>
      </c>
      <c r="C454" t="s">
        <v>32</v>
      </c>
      <c r="D454" t="s">
        <v>25</v>
      </c>
      <c r="E454" t="s">
        <v>81</v>
      </c>
      <c r="F454" t="s">
        <v>82</v>
      </c>
      <c r="G454" t="s">
        <v>20</v>
      </c>
      <c r="H454" t="s">
        <v>21</v>
      </c>
      <c r="I454">
        <v>3</v>
      </c>
      <c r="J454">
        <v>29405</v>
      </c>
      <c r="K454">
        <v>0.03</v>
      </c>
      <c r="L454" s="9">
        <v>85568.55</v>
      </c>
      <c r="M454" s="9">
        <v>67186.740000000005</v>
      </c>
      <c r="N454" s="9">
        <v>18381.810000000001</v>
      </c>
      <c r="O454">
        <f>MONTH(TblSales[[#This Row],[Date]])</f>
        <v>8</v>
      </c>
      <c r="P454" t="str">
        <f>TEXT(TblSales[[#This Row],[Date]],"mmm")</f>
        <v>Aug</v>
      </c>
      <c r="Q454">
        <f>YEAR(TblSales[[#This Row],[Date]])</f>
        <v>2025</v>
      </c>
    </row>
    <row r="455" spans="1:17">
      <c r="A455" t="s">
        <v>811</v>
      </c>
      <c r="B455" s="5" t="s">
        <v>611</v>
      </c>
      <c r="C455" t="s">
        <v>16</v>
      </c>
      <c r="D455" t="s">
        <v>60</v>
      </c>
      <c r="E455" t="s">
        <v>61</v>
      </c>
      <c r="F455" t="s">
        <v>310</v>
      </c>
      <c r="G455" t="s">
        <v>20</v>
      </c>
      <c r="H455" t="s">
        <v>56</v>
      </c>
      <c r="I455">
        <v>5</v>
      </c>
      <c r="J455">
        <v>30108</v>
      </c>
      <c r="K455">
        <v>0.09</v>
      </c>
      <c r="L455" s="9">
        <v>136991.4</v>
      </c>
      <c r="M455" s="9">
        <v>122388.31</v>
      </c>
      <c r="N455" s="9">
        <v>14603.09</v>
      </c>
      <c r="O455">
        <f>MONTH(TblSales[[#This Row],[Date]])</f>
        <v>4</v>
      </c>
      <c r="P455" t="str">
        <f>TEXT(TblSales[[#This Row],[Date]],"mmm")</f>
        <v>Apr</v>
      </c>
      <c r="Q455">
        <f>YEAR(TblSales[[#This Row],[Date]])</f>
        <v>2025</v>
      </c>
    </row>
    <row r="456" spans="1:17">
      <c r="A456" t="s">
        <v>812</v>
      </c>
      <c r="B456" s="5" t="s">
        <v>614</v>
      </c>
      <c r="C456" t="s">
        <v>24</v>
      </c>
      <c r="D456" t="s">
        <v>53</v>
      </c>
      <c r="E456" t="s">
        <v>140</v>
      </c>
      <c r="F456" t="s">
        <v>187</v>
      </c>
      <c r="G456" t="s">
        <v>67</v>
      </c>
      <c r="H456" t="s">
        <v>56</v>
      </c>
      <c r="I456">
        <v>1</v>
      </c>
      <c r="J456">
        <v>16890</v>
      </c>
      <c r="K456">
        <v>0.04</v>
      </c>
      <c r="L456" s="9">
        <v>16214.4</v>
      </c>
      <c r="M456" s="9">
        <v>13156.94</v>
      </c>
      <c r="N456" s="9">
        <v>3057.46</v>
      </c>
      <c r="O456">
        <f>MONTH(TblSales[[#This Row],[Date]])</f>
        <v>1</v>
      </c>
      <c r="P456" t="str">
        <f>TEXT(TblSales[[#This Row],[Date]],"mmm")</f>
        <v>Jan</v>
      </c>
      <c r="Q456">
        <f>YEAR(TblSales[[#This Row],[Date]])</f>
        <v>2025</v>
      </c>
    </row>
    <row r="457" spans="1:17">
      <c r="A457" t="s">
        <v>813</v>
      </c>
      <c r="B457" s="5" t="s">
        <v>585</v>
      </c>
      <c r="C457" t="s">
        <v>89</v>
      </c>
      <c r="D457" t="s">
        <v>17</v>
      </c>
      <c r="E457" t="s">
        <v>18</v>
      </c>
      <c r="F457" t="s">
        <v>86</v>
      </c>
      <c r="G457" t="s">
        <v>119</v>
      </c>
      <c r="H457" t="s">
        <v>34</v>
      </c>
      <c r="I457">
        <v>3</v>
      </c>
      <c r="J457">
        <v>18321</v>
      </c>
      <c r="K457">
        <v>0.08</v>
      </c>
      <c r="L457" s="9">
        <v>50565.96</v>
      </c>
      <c r="M457" s="9">
        <v>38917.47</v>
      </c>
      <c r="N457" s="9">
        <v>11648.49</v>
      </c>
      <c r="O457">
        <f>MONTH(TblSales[[#This Row],[Date]])</f>
        <v>8</v>
      </c>
      <c r="P457" t="str">
        <f>TEXT(TblSales[[#This Row],[Date]],"mmm")</f>
        <v>Aug</v>
      </c>
      <c r="Q457">
        <f>YEAR(TblSales[[#This Row],[Date]])</f>
        <v>2025</v>
      </c>
    </row>
    <row r="458" spans="1:17">
      <c r="A458" t="s">
        <v>814</v>
      </c>
      <c r="B458" s="5" t="s">
        <v>332</v>
      </c>
      <c r="C458" t="s">
        <v>32</v>
      </c>
      <c r="D458" t="s">
        <v>17</v>
      </c>
      <c r="E458" t="s">
        <v>48</v>
      </c>
      <c r="F458" t="s">
        <v>579</v>
      </c>
      <c r="G458" t="s">
        <v>40</v>
      </c>
      <c r="H458" t="s">
        <v>21</v>
      </c>
      <c r="I458">
        <v>5</v>
      </c>
      <c r="J458">
        <v>2811</v>
      </c>
      <c r="K458">
        <v>0.04</v>
      </c>
      <c r="L458" s="9">
        <v>13492.8</v>
      </c>
      <c r="M458" s="9">
        <v>11573.17</v>
      </c>
      <c r="N458" s="9">
        <v>1919.63</v>
      </c>
      <c r="O458">
        <f>MONTH(TblSales[[#This Row],[Date]])</f>
        <v>7</v>
      </c>
      <c r="P458" t="str">
        <f>TEXT(TblSales[[#This Row],[Date]],"mmm")</f>
        <v>Jul</v>
      </c>
      <c r="Q458">
        <f>YEAR(TblSales[[#This Row],[Date]])</f>
        <v>2025</v>
      </c>
    </row>
    <row r="459" spans="1:17">
      <c r="A459" t="s">
        <v>815</v>
      </c>
      <c r="B459" s="5" t="s">
        <v>725</v>
      </c>
      <c r="C459" t="s">
        <v>113</v>
      </c>
      <c r="D459" t="s">
        <v>60</v>
      </c>
      <c r="E459" t="s">
        <v>65</v>
      </c>
      <c r="F459" t="s">
        <v>66</v>
      </c>
      <c r="G459" t="s">
        <v>28</v>
      </c>
      <c r="H459" t="s">
        <v>56</v>
      </c>
      <c r="I459">
        <v>2</v>
      </c>
      <c r="J459">
        <v>19593</v>
      </c>
      <c r="K459">
        <v>0.03</v>
      </c>
      <c r="L459" s="9">
        <v>38010.42</v>
      </c>
      <c r="M459" s="9">
        <v>26874.6</v>
      </c>
      <c r="N459" s="9">
        <v>11135.82</v>
      </c>
      <c r="O459">
        <f>MONTH(TblSales[[#This Row],[Date]])</f>
        <v>3</v>
      </c>
      <c r="P459" t="str">
        <f>TEXT(TblSales[[#This Row],[Date]],"mmm")</f>
        <v>Mar</v>
      </c>
      <c r="Q459">
        <f>YEAR(TblSales[[#This Row],[Date]])</f>
        <v>2025</v>
      </c>
    </row>
    <row r="460" spans="1:17">
      <c r="A460" t="s">
        <v>816</v>
      </c>
      <c r="B460" s="5" t="s">
        <v>718</v>
      </c>
      <c r="C460" t="s">
        <v>37</v>
      </c>
      <c r="D460" t="s">
        <v>25</v>
      </c>
      <c r="E460" t="s">
        <v>43</v>
      </c>
      <c r="F460" t="s">
        <v>124</v>
      </c>
      <c r="G460" t="s">
        <v>40</v>
      </c>
      <c r="H460" t="s">
        <v>34</v>
      </c>
      <c r="I460">
        <v>1</v>
      </c>
      <c r="J460">
        <v>30663</v>
      </c>
      <c r="K460">
        <v>0.02</v>
      </c>
      <c r="L460" s="9">
        <v>30049.74</v>
      </c>
      <c r="M460" s="9">
        <v>25712.54</v>
      </c>
      <c r="N460" s="9">
        <v>4337.2</v>
      </c>
      <c r="O460">
        <f>MONTH(TblSales[[#This Row],[Date]])</f>
        <v>4</v>
      </c>
      <c r="P460" t="str">
        <f>TEXT(TblSales[[#This Row],[Date]],"mmm")</f>
        <v>Apr</v>
      </c>
      <c r="Q460">
        <f>YEAR(TblSales[[#This Row],[Date]])</f>
        <v>2025</v>
      </c>
    </row>
    <row r="461" spans="1:17">
      <c r="A461" t="s">
        <v>817</v>
      </c>
      <c r="B461" s="5" t="s">
        <v>387</v>
      </c>
      <c r="C461" t="s">
        <v>113</v>
      </c>
      <c r="D461" t="s">
        <v>60</v>
      </c>
      <c r="E461" t="s">
        <v>102</v>
      </c>
      <c r="F461" t="s">
        <v>493</v>
      </c>
      <c r="G461" t="s">
        <v>67</v>
      </c>
      <c r="H461" t="s">
        <v>34</v>
      </c>
      <c r="I461">
        <v>4</v>
      </c>
      <c r="J461">
        <v>53433</v>
      </c>
      <c r="K461">
        <v>0.13</v>
      </c>
      <c r="L461" s="9">
        <v>185946.84</v>
      </c>
      <c r="M461" s="9">
        <v>149288.84</v>
      </c>
      <c r="N461" s="9">
        <v>36658</v>
      </c>
      <c r="O461">
        <f>MONTH(TblSales[[#This Row],[Date]])</f>
        <v>6</v>
      </c>
      <c r="P461" t="str">
        <f>TEXT(TblSales[[#This Row],[Date]],"mmm")</f>
        <v>Jun</v>
      </c>
      <c r="Q461">
        <f>YEAR(TblSales[[#This Row],[Date]])</f>
        <v>2025</v>
      </c>
    </row>
    <row r="462" spans="1:17">
      <c r="A462" t="s">
        <v>818</v>
      </c>
      <c r="B462" s="5" t="s">
        <v>483</v>
      </c>
      <c r="C462" t="s">
        <v>52</v>
      </c>
      <c r="D462" t="s">
        <v>60</v>
      </c>
      <c r="E462" t="s">
        <v>65</v>
      </c>
      <c r="F462" t="s">
        <v>90</v>
      </c>
      <c r="G462" t="s">
        <v>28</v>
      </c>
      <c r="H462" t="s">
        <v>56</v>
      </c>
      <c r="I462">
        <v>3</v>
      </c>
      <c r="J462">
        <v>15090</v>
      </c>
      <c r="K462">
        <v>0.1</v>
      </c>
      <c r="L462" s="9">
        <v>40743</v>
      </c>
      <c r="M462" s="9">
        <v>35055.449999999997</v>
      </c>
      <c r="N462" s="9">
        <v>5687.55</v>
      </c>
      <c r="O462">
        <f>MONTH(TblSales[[#This Row],[Date]])</f>
        <v>8</v>
      </c>
      <c r="P462" t="str">
        <f>TEXT(TblSales[[#This Row],[Date]],"mmm")</f>
        <v>Aug</v>
      </c>
      <c r="Q462">
        <f>YEAR(TblSales[[#This Row],[Date]])</f>
        <v>2025</v>
      </c>
    </row>
    <row r="463" spans="1:17">
      <c r="A463" t="s">
        <v>819</v>
      </c>
      <c r="B463" s="5" t="s">
        <v>595</v>
      </c>
      <c r="C463" t="s">
        <v>89</v>
      </c>
      <c r="D463" t="s">
        <v>53</v>
      </c>
      <c r="E463" t="s">
        <v>127</v>
      </c>
      <c r="F463" t="s">
        <v>128</v>
      </c>
      <c r="G463" t="s">
        <v>45</v>
      </c>
      <c r="H463" t="s">
        <v>21</v>
      </c>
      <c r="I463">
        <v>3</v>
      </c>
      <c r="J463">
        <v>23680</v>
      </c>
      <c r="K463">
        <v>0.13</v>
      </c>
      <c r="L463" s="9">
        <v>61804.800000000003</v>
      </c>
      <c r="M463" s="9">
        <v>50671.28</v>
      </c>
      <c r="N463" s="9">
        <v>11133.52</v>
      </c>
      <c r="O463">
        <f>MONTH(TblSales[[#This Row],[Date]])</f>
        <v>4</v>
      </c>
      <c r="P463" t="str">
        <f>TEXT(TblSales[[#This Row],[Date]],"mmm")</f>
        <v>Apr</v>
      </c>
      <c r="Q463">
        <f>YEAR(TblSales[[#This Row],[Date]])</f>
        <v>2025</v>
      </c>
    </row>
    <row r="464" spans="1:17">
      <c r="A464" t="s">
        <v>820</v>
      </c>
      <c r="B464" s="5" t="s">
        <v>675</v>
      </c>
      <c r="C464" t="s">
        <v>37</v>
      </c>
      <c r="D464" t="s">
        <v>25</v>
      </c>
      <c r="E464" t="s">
        <v>43</v>
      </c>
      <c r="F464" t="s">
        <v>44</v>
      </c>
      <c r="G464" t="s">
        <v>119</v>
      </c>
      <c r="H464" t="s">
        <v>29</v>
      </c>
      <c r="I464">
        <v>1</v>
      </c>
      <c r="J464">
        <v>52333</v>
      </c>
      <c r="K464">
        <v>7.0000000000000007E-2</v>
      </c>
      <c r="L464" s="9">
        <v>48669.69</v>
      </c>
      <c r="M464" s="9">
        <v>36054.379999999997</v>
      </c>
      <c r="N464" s="9">
        <v>12615.31</v>
      </c>
      <c r="O464">
        <f>MONTH(TblSales[[#This Row],[Date]])</f>
        <v>10</v>
      </c>
      <c r="P464" t="str">
        <f>TEXT(TblSales[[#This Row],[Date]],"mmm")</f>
        <v>Oct</v>
      </c>
      <c r="Q464">
        <f>YEAR(TblSales[[#This Row],[Date]])</f>
        <v>2025</v>
      </c>
    </row>
    <row r="465" spans="1:17">
      <c r="A465" t="s">
        <v>821</v>
      </c>
      <c r="B465" s="5" t="s">
        <v>354</v>
      </c>
      <c r="C465" t="s">
        <v>52</v>
      </c>
      <c r="D465" t="s">
        <v>17</v>
      </c>
      <c r="E465" t="s">
        <v>48</v>
      </c>
      <c r="F465" t="s">
        <v>49</v>
      </c>
      <c r="G465" t="s">
        <v>108</v>
      </c>
      <c r="H465" t="s">
        <v>29</v>
      </c>
      <c r="I465">
        <v>4</v>
      </c>
      <c r="J465">
        <v>25439</v>
      </c>
      <c r="K465">
        <v>0.02</v>
      </c>
      <c r="L465" s="9">
        <v>99720.88</v>
      </c>
      <c r="M465" s="9">
        <v>84828.62</v>
      </c>
      <c r="N465" s="9">
        <v>14892.26</v>
      </c>
      <c r="O465">
        <f>MONTH(TblSales[[#This Row],[Date]])</f>
        <v>4</v>
      </c>
      <c r="P465" t="str">
        <f>TEXT(TblSales[[#This Row],[Date]],"mmm")</f>
        <v>Apr</v>
      </c>
      <c r="Q465">
        <f>YEAR(TblSales[[#This Row],[Date]])</f>
        <v>2025</v>
      </c>
    </row>
    <row r="466" spans="1:17">
      <c r="A466" t="s">
        <v>822</v>
      </c>
      <c r="B466" s="5" t="s">
        <v>151</v>
      </c>
      <c r="C466" t="s">
        <v>24</v>
      </c>
      <c r="D466" t="s">
        <v>53</v>
      </c>
      <c r="E466" t="s">
        <v>54</v>
      </c>
      <c r="F466" t="s">
        <v>55</v>
      </c>
      <c r="G466" t="s">
        <v>20</v>
      </c>
      <c r="H466" t="s">
        <v>29</v>
      </c>
      <c r="I466">
        <v>5</v>
      </c>
      <c r="J466">
        <v>28076</v>
      </c>
      <c r="K466">
        <v>0.05</v>
      </c>
      <c r="L466" s="9">
        <v>133361</v>
      </c>
      <c r="M466" s="9">
        <v>113817.37</v>
      </c>
      <c r="N466" s="9">
        <v>19543.63</v>
      </c>
      <c r="O466">
        <f>MONTH(TblSales[[#This Row],[Date]])</f>
        <v>1</v>
      </c>
      <c r="P466" t="str">
        <f>TEXT(TblSales[[#This Row],[Date]],"mmm")</f>
        <v>Jan</v>
      </c>
      <c r="Q466">
        <f>YEAR(TblSales[[#This Row],[Date]])</f>
        <v>2025</v>
      </c>
    </row>
    <row r="467" spans="1:17">
      <c r="A467" t="s">
        <v>823</v>
      </c>
      <c r="B467" s="5" t="s">
        <v>139</v>
      </c>
      <c r="C467" t="s">
        <v>32</v>
      </c>
      <c r="D467" t="s">
        <v>25</v>
      </c>
      <c r="E467" t="s">
        <v>26</v>
      </c>
      <c r="F467" t="s">
        <v>99</v>
      </c>
      <c r="G467" t="s">
        <v>45</v>
      </c>
      <c r="H467" t="s">
        <v>34</v>
      </c>
      <c r="I467">
        <v>5</v>
      </c>
      <c r="J467">
        <v>53528</v>
      </c>
      <c r="K467">
        <v>0.05</v>
      </c>
      <c r="L467" s="9">
        <v>254258</v>
      </c>
      <c r="M467" s="9">
        <v>202678.6</v>
      </c>
      <c r="N467" s="9">
        <v>51579.4</v>
      </c>
      <c r="O467">
        <f>MONTH(TblSales[[#This Row],[Date]])</f>
        <v>3</v>
      </c>
      <c r="P467" t="str">
        <f>TEXT(TblSales[[#This Row],[Date]],"mmm")</f>
        <v>Mar</v>
      </c>
      <c r="Q467">
        <f>YEAR(TblSales[[#This Row],[Date]])</f>
        <v>2025</v>
      </c>
    </row>
    <row r="468" spans="1:17">
      <c r="A468" t="s">
        <v>824</v>
      </c>
      <c r="B468" s="5" t="s">
        <v>241</v>
      </c>
      <c r="C468" t="s">
        <v>89</v>
      </c>
      <c r="D468" t="s">
        <v>25</v>
      </c>
      <c r="E468" t="s">
        <v>70</v>
      </c>
      <c r="F468" t="s">
        <v>257</v>
      </c>
      <c r="G468" t="s">
        <v>33</v>
      </c>
      <c r="H468" t="s">
        <v>56</v>
      </c>
      <c r="I468">
        <v>1</v>
      </c>
      <c r="J468">
        <v>23555</v>
      </c>
      <c r="K468">
        <v>7.0000000000000007E-2</v>
      </c>
      <c r="L468" s="9">
        <v>21906.15</v>
      </c>
      <c r="M468" s="9">
        <v>18258.97</v>
      </c>
      <c r="N468" s="9">
        <v>3647.18</v>
      </c>
      <c r="O468">
        <f>MONTH(TblSales[[#This Row],[Date]])</f>
        <v>6</v>
      </c>
      <c r="P468" t="str">
        <f>TEXT(TblSales[[#This Row],[Date]],"mmm")</f>
        <v>Jun</v>
      </c>
      <c r="Q468">
        <f>YEAR(TblSales[[#This Row],[Date]])</f>
        <v>2025</v>
      </c>
    </row>
    <row r="469" spans="1:17">
      <c r="A469" t="s">
        <v>825</v>
      </c>
      <c r="B469" s="5" t="s">
        <v>826</v>
      </c>
      <c r="C469" t="s">
        <v>16</v>
      </c>
      <c r="D469" t="s">
        <v>17</v>
      </c>
      <c r="E469" t="s">
        <v>38</v>
      </c>
      <c r="F469" t="s">
        <v>205</v>
      </c>
      <c r="G469" t="s">
        <v>33</v>
      </c>
      <c r="H469" t="s">
        <v>56</v>
      </c>
      <c r="I469">
        <v>5</v>
      </c>
      <c r="J469">
        <v>11150</v>
      </c>
      <c r="K469">
        <v>0.09</v>
      </c>
      <c r="L469" s="9">
        <v>50732.5</v>
      </c>
      <c r="M469" s="9">
        <v>38736.25</v>
      </c>
      <c r="N469" s="9">
        <v>11996.25</v>
      </c>
      <c r="O469">
        <f>MONTH(TblSales[[#This Row],[Date]])</f>
        <v>9</v>
      </c>
      <c r="P469" t="str">
        <f>TEXT(TblSales[[#This Row],[Date]],"mmm")</f>
        <v>Sep</v>
      </c>
      <c r="Q469">
        <f>YEAR(TblSales[[#This Row],[Date]])</f>
        <v>2025</v>
      </c>
    </row>
    <row r="470" spans="1:17">
      <c r="A470" t="s">
        <v>827</v>
      </c>
      <c r="B470" s="5" t="s">
        <v>239</v>
      </c>
      <c r="C470" t="s">
        <v>37</v>
      </c>
      <c r="D470" t="s">
        <v>25</v>
      </c>
      <c r="E470" t="s">
        <v>70</v>
      </c>
      <c r="F470" t="s">
        <v>71</v>
      </c>
      <c r="G470" t="s">
        <v>108</v>
      </c>
      <c r="H470" t="s">
        <v>21</v>
      </c>
      <c r="I470">
        <v>4</v>
      </c>
      <c r="J470">
        <v>42999</v>
      </c>
      <c r="K470">
        <v>0.1</v>
      </c>
      <c r="L470" s="9">
        <v>154796.4</v>
      </c>
      <c r="M470" s="9">
        <v>118768.8</v>
      </c>
      <c r="N470" s="9">
        <v>36027.599999999999</v>
      </c>
      <c r="O470">
        <f>MONTH(TblSales[[#This Row],[Date]])</f>
        <v>6</v>
      </c>
      <c r="P470" t="str">
        <f>TEXT(TblSales[[#This Row],[Date]],"mmm")</f>
        <v>Jun</v>
      </c>
      <c r="Q470">
        <f>YEAR(TblSales[[#This Row],[Date]])</f>
        <v>2025</v>
      </c>
    </row>
    <row r="471" spans="1:17">
      <c r="A471" t="s">
        <v>828</v>
      </c>
      <c r="B471" s="5" t="s">
        <v>305</v>
      </c>
      <c r="C471" t="s">
        <v>98</v>
      </c>
      <c r="D471" t="s">
        <v>60</v>
      </c>
      <c r="E471" t="s">
        <v>102</v>
      </c>
      <c r="F471" t="s">
        <v>303</v>
      </c>
      <c r="G471" t="s">
        <v>20</v>
      </c>
      <c r="H471" t="s">
        <v>56</v>
      </c>
      <c r="I471">
        <v>2</v>
      </c>
      <c r="J471">
        <v>32187</v>
      </c>
      <c r="K471">
        <v>0.04</v>
      </c>
      <c r="L471" s="9">
        <v>61799.040000000001</v>
      </c>
      <c r="M471" s="9">
        <v>45583.44</v>
      </c>
      <c r="N471" s="9">
        <v>16215.6</v>
      </c>
      <c r="O471">
        <f>MONTH(TblSales[[#This Row],[Date]])</f>
        <v>3</v>
      </c>
      <c r="P471" t="str">
        <f>TEXT(TblSales[[#This Row],[Date]],"mmm")</f>
        <v>Mar</v>
      </c>
      <c r="Q471">
        <f>YEAR(TblSales[[#This Row],[Date]])</f>
        <v>2025</v>
      </c>
    </row>
    <row r="472" spans="1:17">
      <c r="A472" t="s">
        <v>829</v>
      </c>
      <c r="B472" s="5" t="s">
        <v>319</v>
      </c>
      <c r="C472" t="s">
        <v>98</v>
      </c>
      <c r="D472" t="s">
        <v>17</v>
      </c>
      <c r="E472" t="s">
        <v>48</v>
      </c>
      <c r="F472" t="s">
        <v>579</v>
      </c>
      <c r="G472" t="s">
        <v>119</v>
      </c>
      <c r="H472" t="s">
        <v>56</v>
      </c>
      <c r="I472">
        <v>3</v>
      </c>
      <c r="J472">
        <v>6122</v>
      </c>
      <c r="K472">
        <v>0.1</v>
      </c>
      <c r="L472" s="9">
        <v>16529.400000000001</v>
      </c>
      <c r="M472" s="9">
        <v>13111.84</v>
      </c>
      <c r="N472" s="9">
        <v>3417.56</v>
      </c>
      <c r="O472">
        <f>MONTH(TblSales[[#This Row],[Date]])</f>
        <v>3</v>
      </c>
      <c r="P472" t="str">
        <f>TEXT(TblSales[[#This Row],[Date]],"mmm")</f>
        <v>Mar</v>
      </c>
      <c r="Q472">
        <f>YEAR(TblSales[[#This Row],[Date]])</f>
        <v>2025</v>
      </c>
    </row>
    <row r="473" spans="1:17">
      <c r="A473" t="s">
        <v>830</v>
      </c>
      <c r="B473" s="5" t="s">
        <v>831</v>
      </c>
      <c r="C473" t="s">
        <v>52</v>
      </c>
      <c r="D473" t="s">
        <v>60</v>
      </c>
      <c r="E473" t="s">
        <v>102</v>
      </c>
      <c r="F473" t="s">
        <v>389</v>
      </c>
      <c r="G473" t="s">
        <v>40</v>
      </c>
      <c r="H473" t="s">
        <v>21</v>
      </c>
      <c r="I473">
        <v>1</v>
      </c>
      <c r="J473">
        <v>55787</v>
      </c>
      <c r="K473">
        <v>0.09</v>
      </c>
      <c r="L473" s="9">
        <v>50766.17</v>
      </c>
      <c r="M473" s="9">
        <v>36670.07</v>
      </c>
      <c r="N473" s="9">
        <v>14096.1</v>
      </c>
      <c r="O473">
        <f>MONTH(TblSales[[#This Row],[Date]])</f>
        <v>3</v>
      </c>
      <c r="P473" t="str">
        <f>TEXT(TblSales[[#This Row],[Date]],"mmm")</f>
        <v>Mar</v>
      </c>
      <c r="Q473">
        <f>YEAR(TblSales[[#This Row],[Date]])</f>
        <v>2025</v>
      </c>
    </row>
    <row r="474" spans="1:17">
      <c r="A474" t="s">
        <v>832</v>
      </c>
      <c r="B474" s="5" t="s">
        <v>31</v>
      </c>
      <c r="C474" t="s">
        <v>113</v>
      </c>
      <c r="D474" t="s">
        <v>25</v>
      </c>
      <c r="E474" t="s">
        <v>81</v>
      </c>
      <c r="F474" t="s">
        <v>82</v>
      </c>
      <c r="G474" t="s">
        <v>40</v>
      </c>
      <c r="H474" t="s">
        <v>29</v>
      </c>
      <c r="I474">
        <v>1</v>
      </c>
      <c r="J474">
        <v>21593</v>
      </c>
      <c r="K474">
        <v>0.08</v>
      </c>
      <c r="L474" s="9">
        <v>19865.560000000001</v>
      </c>
      <c r="M474" s="9">
        <v>15927.37</v>
      </c>
      <c r="N474" s="9">
        <v>3938.19</v>
      </c>
      <c r="O474">
        <f>MONTH(TblSales[[#This Row],[Date]])</f>
        <v>4</v>
      </c>
      <c r="P474" t="str">
        <f>TEXT(TblSales[[#This Row],[Date]],"mmm")</f>
        <v>Apr</v>
      </c>
      <c r="Q474">
        <f>YEAR(TblSales[[#This Row],[Date]])</f>
        <v>2025</v>
      </c>
    </row>
    <row r="475" spans="1:17">
      <c r="A475" t="s">
        <v>833</v>
      </c>
      <c r="B475" s="5" t="s">
        <v>294</v>
      </c>
      <c r="C475" t="s">
        <v>37</v>
      </c>
      <c r="D475" t="s">
        <v>53</v>
      </c>
      <c r="E475" t="s">
        <v>148</v>
      </c>
      <c r="F475" t="s">
        <v>422</v>
      </c>
      <c r="G475" t="s">
        <v>67</v>
      </c>
      <c r="H475" t="s">
        <v>29</v>
      </c>
      <c r="I475">
        <v>3</v>
      </c>
      <c r="J475">
        <v>34158</v>
      </c>
      <c r="K475">
        <v>0.11</v>
      </c>
      <c r="L475" s="9">
        <v>91201.86</v>
      </c>
      <c r="M475" s="9">
        <v>64295.21</v>
      </c>
      <c r="N475" s="9">
        <v>26906.65</v>
      </c>
      <c r="O475">
        <f>MONTH(TblSales[[#This Row],[Date]])</f>
        <v>2</v>
      </c>
      <c r="P475" t="str">
        <f>TEXT(TblSales[[#This Row],[Date]],"mmm")</f>
        <v>Feb</v>
      </c>
      <c r="Q475">
        <f>YEAR(TblSales[[#This Row],[Date]])</f>
        <v>2025</v>
      </c>
    </row>
    <row r="476" spans="1:17">
      <c r="A476" t="s">
        <v>834</v>
      </c>
      <c r="B476" s="5" t="s">
        <v>835</v>
      </c>
      <c r="C476" t="s">
        <v>85</v>
      </c>
      <c r="D476" t="s">
        <v>60</v>
      </c>
      <c r="E476" t="s">
        <v>106</v>
      </c>
      <c r="F476" t="s">
        <v>209</v>
      </c>
      <c r="G476" t="s">
        <v>28</v>
      </c>
      <c r="H476" t="s">
        <v>21</v>
      </c>
      <c r="I476">
        <v>5</v>
      </c>
      <c r="J476">
        <v>26452</v>
      </c>
      <c r="K476">
        <v>0.14000000000000001</v>
      </c>
      <c r="L476" s="9">
        <v>113743.6</v>
      </c>
      <c r="M476" s="9">
        <v>93961.25</v>
      </c>
      <c r="N476" s="9">
        <v>19782.349999999999</v>
      </c>
      <c r="O476">
        <f>MONTH(TblSales[[#This Row],[Date]])</f>
        <v>6</v>
      </c>
      <c r="P476" t="str">
        <f>TEXT(TblSales[[#This Row],[Date]],"mmm")</f>
        <v>Jun</v>
      </c>
      <c r="Q476">
        <f>YEAR(TblSales[[#This Row],[Date]])</f>
        <v>2025</v>
      </c>
    </row>
    <row r="477" spans="1:17">
      <c r="A477" t="s">
        <v>836</v>
      </c>
      <c r="B477" s="5" t="s">
        <v>31</v>
      </c>
      <c r="C477" t="s">
        <v>85</v>
      </c>
      <c r="D477" t="s">
        <v>25</v>
      </c>
      <c r="E477" t="s">
        <v>70</v>
      </c>
      <c r="F477" t="s">
        <v>320</v>
      </c>
      <c r="G477" t="s">
        <v>119</v>
      </c>
      <c r="H477" t="s">
        <v>29</v>
      </c>
      <c r="I477">
        <v>1</v>
      </c>
      <c r="J477">
        <v>47695</v>
      </c>
      <c r="K477">
        <v>0.06</v>
      </c>
      <c r="L477" s="9">
        <v>44833.3</v>
      </c>
      <c r="M477" s="9">
        <v>35490.089999999997</v>
      </c>
      <c r="N477" s="9">
        <v>9343.2099999999991</v>
      </c>
      <c r="O477">
        <f>MONTH(TblSales[[#This Row],[Date]])</f>
        <v>4</v>
      </c>
      <c r="P477" t="str">
        <f>TEXT(TblSales[[#This Row],[Date]],"mmm")</f>
        <v>Apr</v>
      </c>
      <c r="Q477">
        <f>YEAR(TblSales[[#This Row],[Date]])</f>
        <v>2025</v>
      </c>
    </row>
    <row r="478" spans="1:17">
      <c r="A478" t="s">
        <v>837</v>
      </c>
      <c r="B478" s="5" t="s">
        <v>307</v>
      </c>
      <c r="C478" t="s">
        <v>52</v>
      </c>
      <c r="D478" t="s">
        <v>53</v>
      </c>
      <c r="E478" t="s">
        <v>140</v>
      </c>
      <c r="F478" t="s">
        <v>217</v>
      </c>
      <c r="G478" t="s">
        <v>45</v>
      </c>
      <c r="H478" t="s">
        <v>29</v>
      </c>
      <c r="I478">
        <v>5</v>
      </c>
      <c r="J478">
        <v>5608</v>
      </c>
      <c r="K478">
        <v>0.12</v>
      </c>
      <c r="L478" s="9">
        <v>24675.200000000001</v>
      </c>
      <c r="M478" s="9">
        <v>20587.66</v>
      </c>
      <c r="N478" s="9">
        <v>4087.54</v>
      </c>
      <c r="O478">
        <f>MONTH(TblSales[[#This Row],[Date]])</f>
        <v>1</v>
      </c>
      <c r="P478" t="str">
        <f>TEXT(TblSales[[#This Row],[Date]],"mmm")</f>
        <v>Jan</v>
      </c>
      <c r="Q478">
        <f>YEAR(TblSales[[#This Row],[Date]])</f>
        <v>2025</v>
      </c>
    </row>
    <row r="479" spans="1:17">
      <c r="A479" t="s">
        <v>838</v>
      </c>
      <c r="B479" s="5" t="s">
        <v>839</v>
      </c>
      <c r="C479" t="s">
        <v>59</v>
      </c>
      <c r="D479" t="s">
        <v>53</v>
      </c>
      <c r="E479" t="s">
        <v>140</v>
      </c>
      <c r="F479" t="s">
        <v>187</v>
      </c>
      <c r="G479" t="s">
        <v>33</v>
      </c>
      <c r="H479" t="s">
        <v>29</v>
      </c>
      <c r="I479">
        <v>3</v>
      </c>
      <c r="J479">
        <v>33935</v>
      </c>
      <c r="K479">
        <v>0.11</v>
      </c>
      <c r="L479" s="9">
        <v>90606.45</v>
      </c>
      <c r="M479" s="9">
        <v>65721.210000000006</v>
      </c>
      <c r="N479" s="9">
        <v>24885.24</v>
      </c>
      <c r="O479">
        <f>MONTH(TblSales[[#This Row],[Date]])</f>
        <v>1</v>
      </c>
      <c r="P479" t="str">
        <f>TEXT(TblSales[[#This Row],[Date]],"mmm")</f>
        <v>Jan</v>
      </c>
      <c r="Q479">
        <f>YEAR(TblSales[[#This Row],[Date]])</f>
        <v>2025</v>
      </c>
    </row>
    <row r="480" spans="1:17">
      <c r="A480" t="s">
        <v>840</v>
      </c>
      <c r="B480" s="5" t="s">
        <v>841</v>
      </c>
      <c r="C480" t="s">
        <v>16</v>
      </c>
      <c r="D480" t="s">
        <v>25</v>
      </c>
      <c r="E480" t="s">
        <v>81</v>
      </c>
      <c r="F480" t="s">
        <v>348</v>
      </c>
      <c r="G480" t="s">
        <v>20</v>
      </c>
      <c r="H480" t="s">
        <v>29</v>
      </c>
      <c r="I480">
        <v>5</v>
      </c>
      <c r="J480">
        <v>35677</v>
      </c>
      <c r="K480">
        <v>0.1</v>
      </c>
      <c r="L480" s="9">
        <v>160546.5</v>
      </c>
      <c r="M480" s="9">
        <v>119999.62</v>
      </c>
      <c r="N480" s="9">
        <v>40546.879999999997</v>
      </c>
      <c r="O480">
        <f>MONTH(TblSales[[#This Row],[Date]])</f>
        <v>8</v>
      </c>
      <c r="P480" t="str">
        <f>TEXT(TblSales[[#This Row],[Date]],"mmm")</f>
        <v>Aug</v>
      </c>
      <c r="Q480">
        <f>YEAR(TblSales[[#This Row],[Date]])</f>
        <v>2025</v>
      </c>
    </row>
    <row r="481" spans="1:17">
      <c r="A481" t="s">
        <v>842</v>
      </c>
      <c r="B481" s="5" t="s">
        <v>309</v>
      </c>
      <c r="C481" t="s">
        <v>59</v>
      </c>
      <c r="D481" t="s">
        <v>17</v>
      </c>
      <c r="E481" t="s">
        <v>48</v>
      </c>
      <c r="F481" t="s">
        <v>579</v>
      </c>
      <c r="G481" t="s">
        <v>67</v>
      </c>
      <c r="H481" t="s">
        <v>29</v>
      </c>
      <c r="I481">
        <v>3</v>
      </c>
      <c r="J481">
        <v>20932</v>
      </c>
      <c r="K481">
        <v>0.04</v>
      </c>
      <c r="L481" s="9">
        <v>60284.160000000003</v>
      </c>
      <c r="M481" s="9">
        <v>45847.360000000001</v>
      </c>
      <c r="N481" s="9">
        <v>14436.8</v>
      </c>
      <c r="O481">
        <f>MONTH(TblSales[[#This Row],[Date]])</f>
        <v>2</v>
      </c>
      <c r="P481" t="str">
        <f>TEXT(TblSales[[#This Row],[Date]],"mmm")</f>
        <v>Feb</v>
      </c>
      <c r="Q481">
        <f>YEAR(TblSales[[#This Row],[Date]])</f>
        <v>2025</v>
      </c>
    </row>
    <row r="482" spans="1:17">
      <c r="A482" t="s">
        <v>843</v>
      </c>
      <c r="B482" s="5" t="s">
        <v>222</v>
      </c>
      <c r="C482" t="s">
        <v>32</v>
      </c>
      <c r="D482" t="s">
        <v>25</v>
      </c>
      <c r="E482" t="s">
        <v>70</v>
      </c>
      <c r="F482" t="s">
        <v>320</v>
      </c>
      <c r="G482" t="s">
        <v>33</v>
      </c>
      <c r="H482" t="s">
        <v>56</v>
      </c>
      <c r="I482">
        <v>4</v>
      </c>
      <c r="J482">
        <v>4166</v>
      </c>
      <c r="K482">
        <v>7.0000000000000007E-2</v>
      </c>
      <c r="L482" s="9">
        <v>15497.52</v>
      </c>
      <c r="M482" s="9">
        <v>13398.78</v>
      </c>
      <c r="N482" s="9">
        <v>2098.7399999999998</v>
      </c>
      <c r="O482">
        <f>MONTH(TblSales[[#This Row],[Date]])</f>
        <v>5</v>
      </c>
      <c r="P482" t="str">
        <f>TEXT(TblSales[[#This Row],[Date]],"mmm")</f>
        <v>May</v>
      </c>
      <c r="Q482">
        <f>YEAR(TblSales[[#This Row],[Date]])</f>
        <v>2025</v>
      </c>
    </row>
    <row r="483" spans="1:17">
      <c r="A483" t="s">
        <v>844</v>
      </c>
      <c r="B483" s="5" t="s">
        <v>372</v>
      </c>
      <c r="C483" t="s">
        <v>24</v>
      </c>
      <c r="D483" t="s">
        <v>25</v>
      </c>
      <c r="E483" t="s">
        <v>81</v>
      </c>
      <c r="F483" t="s">
        <v>377</v>
      </c>
      <c r="G483" t="s">
        <v>20</v>
      </c>
      <c r="H483" t="s">
        <v>34</v>
      </c>
      <c r="I483">
        <v>3</v>
      </c>
      <c r="J483">
        <v>11393</v>
      </c>
      <c r="K483">
        <v>0.13</v>
      </c>
      <c r="L483" s="9">
        <v>29735.73</v>
      </c>
      <c r="M483" s="9">
        <v>22361.279999999999</v>
      </c>
      <c r="N483" s="9">
        <v>7374.45</v>
      </c>
      <c r="O483">
        <f>MONTH(TblSales[[#This Row],[Date]])</f>
        <v>4</v>
      </c>
      <c r="P483" t="str">
        <f>TEXT(TblSales[[#This Row],[Date]],"mmm")</f>
        <v>Apr</v>
      </c>
      <c r="Q483">
        <f>YEAR(TblSales[[#This Row],[Date]])</f>
        <v>2025</v>
      </c>
    </row>
    <row r="484" spans="1:17">
      <c r="A484" t="s">
        <v>845</v>
      </c>
      <c r="B484" s="5" t="s">
        <v>583</v>
      </c>
      <c r="C484" t="s">
        <v>59</v>
      </c>
      <c r="D484" t="s">
        <v>53</v>
      </c>
      <c r="E484" t="s">
        <v>148</v>
      </c>
      <c r="F484" t="s">
        <v>149</v>
      </c>
      <c r="G484" t="s">
        <v>28</v>
      </c>
      <c r="H484" t="s">
        <v>29</v>
      </c>
      <c r="I484">
        <v>1</v>
      </c>
      <c r="J484">
        <v>28487</v>
      </c>
      <c r="K484">
        <v>0.03</v>
      </c>
      <c r="L484" s="9">
        <v>27632.39</v>
      </c>
      <c r="M484" s="9">
        <v>21221.7</v>
      </c>
      <c r="N484" s="9">
        <v>6410.69</v>
      </c>
      <c r="O484">
        <f>MONTH(TblSales[[#This Row],[Date]])</f>
        <v>10</v>
      </c>
      <c r="P484" t="str">
        <f>TEXT(TblSales[[#This Row],[Date]],"mmm")</f>
        <v>Oct</v>
      </c>
      <c r="Q484">
        <f>YEAR(TblSales[[#This Row],[Date]])</f>
        <v>2025</v>
      </c>
    </row>
    <row r="485" spans="1:17">
      <c r="A485" t="s">
        <v>846</v>
      </c>
      <c r="B485" s="5" t="s">
        <v>664</v>
      </c>
      <c r="C485" t="s">
        <v>98</v>
      </c>
      <c r="D485" t="s">
        <v>25</v>
      </c>
      <c r="E485" t="s">
        <v>43</v>
      </c>
      <c r="F485" t="s">
        <v>220</v>
      </c>
      <c r="G485" t="s">
        <v>67</v>
      </c>
      <c r="H485" t="s">
        <v>29</v>
      </c>
      <c r="I485">
        <v>2</v>
      </c>
      <c r="J485">
        <v>55657</v>
      </c>
      <c r="K485">
        <v>0.08</v>
      </c>
      <c r="L485" s="9">
        <v>102408.88</v>
      </c>
      <c r="M485" s="9">
        <v>74736.08</v>
      </c>
      <c r="N485" s="9">
        <v>27672.799999999999</v>
      </c>
      <c r="O485">
        <f>MONTH(TblSales[[#This Row],[Date]])</f>
        <v>3</v>
      </c>
      <c r="P485" t="str">
        <f>TEXT(TblSales[[#This Row],[Date]],"mmm")</f>
        <v>Mar</v>
      </c>
      <c r="Q485">
        <f>YEAR(TblSales[[#This Row],[Date]])</f>
        <v>2025</v>
      </c>
    </row>
    <row r="486" spans="1:17">
      <c r="A486" t="s">
        <v>847</v>
      </c>
      <c r="B486" s="5" t="s">
        <v>289</v>
      </c>
      <c r="C486" t="s">
        <v>85</v>
      </c>
      <c r="D486" t="s">
        <v>17</v>
      </c>
      <c r="E486" t="s">
        <v>48</v>
      </c>
      <c r="F486" t="s">
        <v>49</v>
      </c>
      <c r="G486" t="s">
        <v>45</v>
      </c>
      <c r="H486" t="s">
        <v>29</v>
      </c>
      <c r="I486">
        <v>5</v>
      </c>
      <c r="J486">
        <v>3131</v>
      </c>
      <c r="K486">
        <v>0.1</v>
      </c>
      <c r="L486" s="9">
        <v>14089.5</v>
      </c>
      <c r="M486" s="9">
        <v>11436.98</v>
      </c>
      <c r="N486" s="9">
        <v>2652.52</v>
      </c>
      <c r="O486">
        <f>MONTH(TblSales[[#This Row],[Date]])</f>
        <v>5</v>
      </c>
      <c r="P486" t="str">
        <f>TEXT(TblSales[[#This Row],[Date]],"mmm")</f>
        <v>May</v>
      </c>
      <c r="Q486">
        <f>YEAR(TblSales[[#This Row],[Date]])</f>
        <v>2025</v>
      </c>
    </row>
    <row r="487" spans="1:17">
      <c r="A487" t="s">
        <v>848</v>
      </c>
      <c r="B487" s="5" t="s">
        <v>394</v>
      </c>
      <c r="C487" t="s">
        <v>16</v>
      </c>
      <c r="D487" t="s">
        <v>53</v>
      </c>
      <c r="E487" t="s">
        <v>127</v>
      </c>
      <c r="F487" t="s">
        <v>137</v>
      </c>
      <c r="G487" t="s">
        <v>67</v>
      </c>
      <c r="H487" t="s">
        <v>34</v>
      </c>
      <c r="I487">
        <v>1</v>
      </c>
      <c r="J487">
        <v>43804</v>
      </c>
      <c r="K487">
        <v>0.05</v>
      </c>
      <c r="L487" s="9">
        <v>41613.800000000003</v>
      </c>
      <c r="M487" s="9">
        <v>33039.64</v>
      </c>
      <c r="N487" s="9">
        <v>8574.16</v>
      </c>
      <c r="O487">
        <f>MONTH(TblSales[[#This Row],[Date]])</f>
        <v>10</v>
      </c>
      <c r="P487" t="str">
        <f>TEXT(TblSales[[#This Row],[Date]],"mmm")</f>
        <v>Oct</v>
      </c>
      <c r="Q487">
        <f>YEAR(TblSales[[#This Row],[Date]])</f>
        <v>2025</v>
      </c>
    </row>
    <row r="488" spans="1:17">
      <c r="A488" t="s">
        <v>849</v>
      </c>
      <c r="B488" s="5" t="s">
        <v>211</v>
      </c>
      <c r="C488" t="s">
        <v>113</v>
      </c>
      <c r="D488" t="s">
        <v>60</v>
      </c>
      <c r="E488" t="s">
        <v>102</v>
      </c>
      <c r="F488" t="s">
        <v>389</v>
      </c>
      <c r="G488" t="s">
        <v>20</v>
      </c>
      <c r="H488" t="s">
        <v>34</v>
      </c>
      <c r="I488">
        <v>4</v>
      </c>
      <c r="J488">
        <v>25164</v>
      </c>
      <c r="K488">
        <v>0.11</v>
      </c>
      <c r="L488" s="9">
        <v>89583.84</v>
      </c>
      <c r="M488" s="9">
        <v>62988.79</v>
      </c>
      <c r="N488" s="9">
        <v>26595.05</v>
      </c>
      <c r="O488">
        <f>MONTH(TblSales[[#This Row],[Date]])</f>
        <v>2</v>
      </c>
      <c r="P488" t="str">
        <f>TEXT(TblSales[[#This Row],[Date]],"mmm")</f>
        <v>Feb</v>
      </c>
      <c r="Q488">
        <f>YEAR(TblSales[[#This Row],[Date]])</f>
        <v>2025</v>
      </c>
    </row>
    <row r="489" spans="1:17">
      <c r="A489" t="s">
        <v>850</v>
      </c>
      <c r="B489" s="5" t="s">
        <v>593</v>
      </c>
      <c r="C489" t="s">
        <v>32</v>
      </c>
      <c r="D489" t="s">
        <v>17</v>
      </c>
      <c r="E489" t="s">
        <v>74</v>
      </c>
      <c r="F489" t="s">
        <v>184</v>
      </c>
      <c r="G489" t="s">
        <v>28</v>
      </c>
      <c r="H489" t="s">
        <v>29</v>
      </c>
      <c r="I489">
        <v>2</v>
      </c>
      <c r="J489">
        <v>16482</v>
      </c>
      <c r="K489">
        <v>7.0000000000000007E-2</v>
      </c>
      <c r="L489" s="9">
        <v>30656.52</v>
      </c>
      <c r="M489" s="9">
        <v>26178.22</v>
      </c>
      <c r="N489" s="9">
        <v>4478.3</v>
      </c>
      <c r="O489">
        <f>MONTH(TblSales[[#This Row],[Date]])</f>
        <v>8</v>
      </c>
      <c r="P489" t="str">
        <f>TEXT(TblSales[[#This Row],[Date]],"mmm")</f>
        <v>Aug</v>
      </c>
      <c r="Q489">
        <f>YEAR(TblSales[[#This Row],[Date]])</f>
        <v>2025</v>
      </c>
    </row>
    <row r="490" spans="1:17">
      <c r="A490" t="s">
        <v>851</v>
      </c>
      <c r="B490" s="5" t="s">
        <v>544</v>
      </c>
      <c r="C490" t="s">
        <v>85</v>
      </c>
      <c r="D490" t="s">
        <v>25</v>
      </c>
      <c r="E490" t="s">
        <v>81</v>
      </c>
      <c r="F490" t="s">
        <v>82</v>
      </c>
      <c r="G490" t="s">
        <v>40</v>
      </c>
      <c r="H490" t="s">
        <v>21</v>
      </c>
      <c r="I490">
        <v>4</v>
      </c>
      <c r="J490">
        <v>18254</v>
      </c>
      <c r="K490">
        <v>0.11</v>
      </c>
      <c r="L490" s="9">
        <v>64984.24</v>
      </c>
      <c r="M490" s="9">
        <v>46832.09</v>
      </c>
      <c r="N490" s="9">
        <v>18152.150000000001</v>
      </c>
      <c r="O490">
        <f>MONTH(TblSales[[#This Row],[Date]])</f>
        <v>4</v>
      </c>
      <c r="P490" t="str">
        <f>TEXT(TblSales[[#This Row],[Date]],"mmm")</f>
        <v>Apr</v>
      </c>
      <c r="Q490">
        <f>YEAR(TblSales[[#This Row],[Date]])</f>
        <v>2025</v>
      </c>
    </row>
    <row r="491" spans="1:17">
      <c r="A491" t="s">
        <v>852</v>
      </c>
      <c r="B491" s="5" t="s">
        <v>542</v>
      </c>
      <c r="C491" t="s">
        <v>16</v>
      </c>
      <c r="D491" t="s">
        <v>25</v>
      </c>
      <c r="E491" t="s">
        <v>70</v>
      </c>
      <c r="F491" t="s">
        <v>195</v>
      </c>
      <c r="G491" t="s">
        <v>28</v>
      </c>
      <c r="H491" t="s">
        <v>34</v>
      </c>
      <c r="I491">
        <v>4</v>
      </c>
      <c r="J491">
        <v>19408</v>
      </c>
      <c r="K491">
        <v>0.11</v>
      </c>
      <c r="L491" s="9">
        <v>69092.479999999996</v>
      </c>
      <c r="M491" s="9">
        <v>52124.71</v>
      </c>
      <c r="N491" s="9">
        <v>16967.77</v>
      </c>
      <c r="O491">
        <f>MONTH(TblSales[[#This Row],[Date]])</f>
        <v>8</v>
      </c>
      <c r="P491" t="str">
        <f>TEXT(TblSales[[#This Row],[Date]],"mmm")</f>
        <v>Aug</v>
      </c>
      <c r="Q491">
        <f>YEAR(TblSales[[#This Row],[Date]])</f>
        <v>2025</v>
      </c>
    </row>
    <row r="492" spans="1:17">
      <c r="A492" t="s">
        <v>853</v>
      </c>
      <c r="B492" s="5" t="s">
        <v>233</v>
      </c>
      <c r="C492" t="s">
        <v>37</v>
      </c>
      <c r="D492" t="s">
        <v>53</v>
      </c>
      <c r="E492" t="s">
        <v>148</v>
      </c>
      <c r="F492" t="s">
        <v>242</v>
      </c>
      <c r="G492" t="s">
        <v>108</v>
      </c>
      <c r="H492" t="s">
        <v>29</v>
      </c>
      <c r="I492">
        <v>4</v>
      </c>
      <c r="J492">
        <v>21311</v>
      </c>
      <c r="K492">
        <v>7.0000000000000007E-2</v>
      </c>
      <c r="L492" s="9">
        <v>79276.92</v>
      </c>
      <c r="M492" s="9">
        <v>60391.3</v>
      </c>
      <c r="N492" s="9">
        <v>18885.62</v>
      </c>
      <c r="O492">
        <f>MONTH(TblSales[[#This Row],[Date]])</f>
        <v>2</v>
      </c>
      <c r="P492" t="str">
        <f>TEXT(TblSales[[#This Row],[Date]],"mmm")</f>
        <v>Feb</v>
      </c>
      <c r="Q492">
        <f>YEAR(TblSales[[#This Row],[Date]])</f>
        <v>2025</v>
      </c>
    </row>
    <row r="493" spans="1:17">
      <c r="A493" t="s">
        <v>854</v>
      </c>
      <c r="B493" s="5" t="s">
        <v>139</v>
      </c>
      <c r="C493" t="s">
        <v>98</v>
      </c>
      <c r="D493" t="s">
        <v>17</v>
      </c>
      <c r="E493" t="s">
        <v>48</v>
      </c>
      <c r="F493" t="s">
        <v>162</v>
      </c>
      <c r="G493" t="s">
        <v>119</v>
      </c>
      <c r="H493" t="s">
        <v>56</v>
      </c>
      <c r="I493">
        <v>5</v>
      </c>
      <c r="J493">
        <v>13462</v>
      </c>
      <c r="K493">
        <v>0.09</v>
      </c>
      <c r="L493" s="9">
        <v>61252.1</v>
      </c>
      <c r="M493" s="9">
        <v>50889.3</v>
      </c>
      <c r="N493" s="9">
        <v>10362.799999999999</v>
      </c>
      <c r="O493">
        <f>MONTH(TblSales[[#This Row],[Date]])</f>
        <v>3</v>
      </c>
      <c r="P493" t="str">
        <f>TEXT(TblSales[[#This Row],[Date]],"mmm")</f>
        <v>Mar</v>
      </c>
      <c r="Q493">
        <f>YEAR(TblSales[[#This Row],[Date]])</f>
        <v>2025</v>
      </c>
    </row>
    <row r="494" spans="1:17">
      <c r="A494" t="s">
        <v>855</v>
      </c>
      <c r="B494" s="5" t="s">
        <v>126</v>
      </c>
      <c r="C494" t="s">
        <v>98</v>
      </c>
      <c r="D494" t="s">
        <v>25</v>
      </c>
      <c r="E494" t="s">
        <v>43</v>
      </c>
      <c r="F494" t="s">
        <v>44</v>
      </c>
      <c r="G494" t="s">
        <v>20</v>
      </c>
      <c r="H494" t="s">
        <v>34</v>
      </c>
      <c r="I494">
        <v>2</v>
      </c>
      <c r="J494">
        <v>30093</v>
      </c>
      <c r="K494">
        <v>0.1</v>
      </c>
      <c r="L494" s="9">
        <v>54167.4</v>
      </c>
      <c r="M494" s="9">
        <v>40249.86</v>
      </c>
      <c r="N494" s="9">
        <v>13917.54</v>
      </c>
      <c r="O494">
        <f>MONTH(TblSales[[#This Row],[Date]])</f>
        <v>7</v>
      </c>
      <c r="P494" t="str">
        <f>TEXT(TblSales[[#This Row],[Date]],"mmm")</f>
        <v>Jul</v>
      </c>
      <c r="Q494">
        <f>YEAR(TblSales[[#This Row],[Date]])</f>
        <v>2025</v>
      </c>
    </row>
    <row r="495" spans="1:17">
      <c r="A495" t="s">
        <v>856</v>
      </c>
      <c r="B495" s="5" t="s">
        <v>317</v>
      </c>
      <c r="C495" t="s">
        <v>24</v>
      </c>
      <c r="D495" t="s">
        <v>60</v>
      </c>
      <c r="E495" t="s">
        <v>65</v>
      </c>
      <c r="F495" t="s">
        <v>66</v>
      </c>
      <c r="G495" t="s">
        <v>40</v>
      </c>
      <c r="H495" t="s">
        <v>56</v>
      </c>
      <c r="I495">
        <v>1</v>
      </c>
      <c r="J495">
        <v>56344</v>
      </c>
      <c r="K495">
        <v>0.05</v>
      </c>
      <c r="L495" s="9">
        <v>53526.8</v>
      </c>
      <c r="M495" s="9">
        <v>40242.480000000003</v>
      </c>
      <c r="N495" s="9">
        <v>13284.32</v>
      </c>
      <c r="O495">
        <f>MONTH(TblSales[[#This Row],[Date]])</f>
        <v>9</v>
      </c>
      <c r="P495" t="str">
        <f>TEXT(TblSales[[#This Row],[Date]],"mmm")</f>
        <v>Sep</v>
      </c>
      <c r="Q495">
        <f>YEAR(TblSales[[#This Row],[Date]])</f>
        <v>2025</v>
      </c>
    </row>
    <row r="496" spans="1:17">
      <c r="A496" t="s">
        <v>857</v>
      </c>
      <c r="B496" s="5" t="s">
        <v>350</v>
      </c>
      <c r="C496" t="s">
        <v>89</v>
      </c>
      <c r="D496" t="s">
        <v>53</v>
      </c>
      <c r="E496" t="s">
        <v>127</v>
      </c>
      <c r="F496" t="s">
        <v>128</v>
      </c>
      <c r="G496" t="s">
        <v>45</v>
      </c>
      <c r="H496" t="s">
        <v>21</v>
      </c>
      <c r="I496">
        <v>2</v>
      </c>
      <c r="J496">
        <v>36813</v>
      </c>
      <c r="K496">
        <v>0.1</v>
      </c>
      <c r="L496" s="9">
        <v>66263.399999999994</v>
      </c>
      <c r="M496" s="9">
        <v>57576.51</v>
      </c>
      <c r="N496" s="9">
        <v>8686.89</v>
      </c>
      <c r="O496">
        <f>MONTH(TblSales[[#This Row],[Date]])</f>
        <v>9</v>
      </c>
      <c r="P496" t="str">
        <f>TEXT(TblSales[[#This Row],[Date]],"mmm")</f>
        <v>Sep</v>
      </c>
      <c r="Q496">
        <f>YEAR(TblSales[[#This Row],[Date]])</f>
        <v>2025</v>
      </c>
    </row>
    <row r="497" spans="1:17">
      <c r="A497" t="s">
        <v>858</v>
      </c>
      <c r="B497" s="5" t="s">
        <v>712</v>
      </c>
      <c r="C497" t="s">
        <v>37</v>
      </c>
      <c r="D497" t="s">
        <v>53</v>
      </c>
      <c r="E497" t="s">
        <v>54</v>
      </c>
      <c r="F497" t="s">
        <v>116</v>
      </c>
      <c r="G497" t="s">
        <v>119</v>
      </c>
      <c r="H497" t="s">
        <v>21</v>
      </c>
      <c r="I497">
        <v>1</v>
      </c>
      <c r="J497">
        <v>56752</v>
      </c>
      <c r="K497">
        <v>0.04</v>
      </c>
      <c r="L497" s="9">
        <v>54481.919999999998</v>
      </c>
      <c r="M497" s="9">
        <v>38798.44</v>
      </c>
      <c r="N497" s="9">
        <v>15683.48</v>
      </c>
      <c r="O497">
        <f>MONTH(TblSales[[#This Row],[Date]])</f>
        <v>6</v>
      </c>
      <c r="P497" t="str">
        <f>TEXT(TblSales[[#This Row],[Date]],"mmm")</f>
        <v>Jun</v>
      </c>
      <c r="Q497">
        <f>YEAR(TblSales[[#This Row],[Date]])</f>
        <v>2025</v>
      </c>
    </row>
    <row r="498" spans="1:17">
      <c r="A498" t="s">
        <v>859</v>
      </c>
      <c r="B498" s="5" t="s">
        <v>775</v>
      </c>
      <c r="C498" t="s">
        <v>24</v>
      </c>
      <c r="D498" t="s">
        <v>60</v>
      </c>
      <c r="E498" t="s">
        <v>102</v>
      </c>
      <c r="F498" t="s">
        <v>493</v>
      </c>
      <c r="G498" t="s">
        <v>108</v>
      </c>
      <c r="H498" t="s">
        <v>29</v>
      </c>
      <c r="I498">
        <v>1</v>
      </c>
      <c r="J498">
        <v>24969</v>
      </c>
      <c r="K498">
        <v>0.1</v>
      </c>
      <c r="L498" s="9">
        <v>22472.1</v>
      </c>
      <c r="M498" s="9">
        <v>16870.28</v>
      </c>
      <c r="N498" s="9">
        <v>5601.82</v>
      </c>
      <c r="O498">
        <f>MONTH(TblSales[[#This Row],[Date]])</f>
        <v>8</v>
      </c>
      <c r="P498" t="str">
        <f>TEXT(TblSales[[#This Row],[Date]],"mmm")</f>
        <v>Aug</v>
      </c>
      <c r="Q498">
        <f>YEAR(TblSales[[#This Row],[Date]])</f>
        <v>2025</v>
      </c>
    </row>
    <row r="499" spans="1:17">
      <c r="A499" t="s">
        <v>860</v>
      </c>
      <c r="B499" s="5" t="s">
        <v>356</v>
      </c>
      <c r="C499" t="s">
        <v>59</v>
      </c>
      <c r="D499" t="s">
        <v>60</v>
      </c>
      <c r="E499" t="s">
        <v>65</v>
      </c>
      <c r="F499" t="s">
        <v>66</v>
      </c>
      <c r="G499" t="s">
        <v>20</v>
      </c>
      <c r="H499" t="s">
        <v>29</v>
      </c>
      <c r="I499">
        <v>3</v>
      </c>
      <c r="J499">
        <v>2835</v>
      </c>
      <c r="K499">
        <v>0.08</v>
      </c>
      <c r="L499" s="9">
        <v>7824.6</v>
      </c>
      <c r="M499" s="9">
        <v>6980.65</v>
      </c>
      <c r="N499" s="9">
        <v>843.95</v>
      </c>
      <c r="O499">
        <f>MONTH(TblSales[[#This Row],[Date]])</f>
        <v>5</v>
      </c>
      <c r="P499" t="str">
        <f>TEXT(TblSales[[#This Row],[Date]],"mmm")</f>
        <v>May</v>
      </c>
      <c r="Q499">
        <f>YEAR(TblSales[[#This Row],[Date]])</f>
        <v>2025</v>
      </c>
    </row>
    <row r="500" spans="1:17">
      <c r="A500" t="s">
        <v>861</v>
      </c>
      <c r="B500" s="5" t="s">
        <v>708</v>
      </c>
      <c r="C500" t="s">
        <v>32</v>
      </c>
      <c r="D500" t="s">
        <v>25</v>
      </c>
      <c r="E500" t="s">
        <v>26</v>
      </c>
      <c r="F500" t="s">
        <v>27</v>
      </c>
      <c r="G500" t="s">
        <v>108</v>
      </c>
      <c r="H500" t="s">
        <v>34</v>
      </c>
      <c r="I500">
        <v>2</v>
      </c>
      <c r="J500">
        <v>41948</v>
      </c>
      <c r="K500">
        <v>0.13</v>
      </c>
      <c r="L500" s="9">
        <v>72989.52</v>
      </c>
      <c r="M500" s="9">
        <v>56447</v>
      </c>
      <c r="N500" s="9">
        <v>16542.52</v>
      </c>
      <c r="O500">
        <f>MONTH(TblSales[[#This Row],[Date]])</f>
        <v>3</v>
      </c>
      <c r="P500" t="str">
        <f>TEXT(TblSales[[#This Row],[Date]],"mmm")</f>
        <v>Mar</v>
      </c>
      <c r="Q500">
        <f>YEAR(TblSales[[#This Row],[Date]])</f>
        <v>2025</v>
      </c>
    </row>
    <row r="501" spans="1:17">
      <c r="A501" t="s">
        <v>862</v>
      </c>
      <c r="B501" s="5" t="s">
        <v>627</v>
      </c>
      <c r="C501" t="s">
        <v>98</v>
      </c>
      <c r="D501" t="s">
        <v>53</v>
      </c>
      <c r="E501" t="s">
        <v>54</v>
      </c>
      <c r="F501" t="s">
        <v>116</v>
      </c>
      <c r="G501" t="s">
        <v>40</v>
      </c>
      <c r="H501" t="s">
        <v>34</v>
      </c>
      <c r="I501">
        <v>1</v>
      </c>
      <c r="J501">
        <v>49343</v>
      </c>
      <c r="K501">
        <v>0.14000000000000001</v>
      </c>
      <c r="L501" s="9">
        <v>42434.98</v>
      </c>
      <c r="M501" s="9">
        <v>32484.59</v>
      </c>
      <c r="N501" s="9">
        <v>9950.39</v>
      </c>
      <c r="O501">
        <f>MONTH(TblSales[[#This Row],[Date]])</f>
        <v>4</v>
      </c>
      <c r="P501" t="str">
        <f>TEXT(TblSales[[#This Row],[Date]],"mmm")</f>
        <v>Apr</v>
      </c>
      <c r="Q501">
        <f>YEAR(TblSales[[#This Row],[Date]])</f>
        <v>2025</v>
      </c>
    </row>
    <row r="502" spans="1:17">
      <c r="O502" s="7"/>
      <c r="P502" s="7"/>
      <c r="Q502" s="7"/>
    </row>
    <row r="504" spans="1:17" ht="15" thickBot="1"/>
    <row r="505" spans="1:17" ht="15" thickTop="1">
      <c r="I505" s="11">
        <f>SUM(TblSales[Total Sales])</f>
        <v>42879431.810000017</v>
      </c>
    </row>
    <row r="506" spans="1:17">
      <c r="L506" s="9" t="s">
        <v>924</v>
      </c>
      <c r="M506" s="9" t="s">
        <v>11</v>
      </c>
    </row>
    <row r="507" spans="1:17">
      <c r="L507" s="9" t="s">
        <v>925</v>
      </c>
      <c r="M507" s="9">
        <v>20</v>
      </c>
    </row>
    <row r="508" spans="1:17">
      <c r="L508" s="9" t="s">
        <v>926</v>
      </c>
      <c r="M508" s="9">
        <v>30</v>
      </c>
    </row>
    <row r="509" spans="1:17">
      <c r="L509" s="9" t="s">
        <v>927</v>
      </c>
      <c r="M509" s="9">
        <v>40</v>
      </c>
    </row>
    <row r="510" spans="1:17">
      <c r="L510" s="9" t="s">
        <v>928</v>
      </c>
      <c r="M510" s="9">
        <v>50</v>
      </c>
    </row>
    <row r="511" spans="1:17" ht="15" thickBot="1">
      <c r="L511" s="9" t="s">
        <v>929</v>
      </c>
      <c r="M511" s="9">
        <v>60</v>
      </c>
    </row>
    <row r="512" spans="1:17" ht="15" thickTop="1">
      <c r="O512" s="12">
        <f>SUM(Table2[Total Sales])</f>
        <v>200</v>
      </c>
    </row>
  </sheetData>
  <pageMargins left="0.75" right="0.75" top="1" bottom="1" header="0.5" footer="0.5"/>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5"/>
  <sheetViews>
    <sheetView topLeftCell="Q1" workbookViewId="0">
      <selection activeCell="T18" sqref="T18"/>
    </sheetView>
  </sheetViews>
  <sheetFormatPr defaultRowHeight="14.4"/>
  <sheetData>
    <row r="1" spans="1:4">
      <c r="A1" s="1" t="s">
        <v>5</v>
      </c>
      <c r="B1" s="1" t="s">
        <v>863</v>
      </c>
      <c r="C1" s="1" t="s">
        <v>864</v>
      </c>
      <c r="D1" s="1" t="s">
        <v>865</v>
      </c>
    </row>
    <row r="2" spans="1:4">
      <c r="A2" t="s">
        <v>62</v>
      </c>
      <c r="B2" t="s">
        <v>866</v>
      </c>
      <c r="C2">
        <v>4.5</v>
      </c>
      <c r="D2" t="s">
        <v>867</v>
      </c>
    </row>
    <row r="3" spans="1:4">
      <c r="A3" t="s">
        <v>154</v>
      </c>
      <c r="B3" t="s">
        <v>868</v>
      </c>
      <c r="C3">
        <v>4</v>
      </c>
      <c r="D3" t="s">
        <v>869</v>
      </c>
    </row>
    <row r="4" spans="1:4">
      <c r="A4" t="s">
        <v>310</v>
      </c>
      <c r="B4" t="s">
        <v>870</v>
      </c>
      <c r="C4">
        <v>3.9</v>
      </c>
      <c r="D4" t="s">
        <v>871</v>
      </c>
    </row>
    <row r="5" spans="1:4">
      <c r="A5" t="s">
        <v>395</v>
      </c>
      <c r="B5" t="s">
        <v>872</v>
      </c>
      <c r="C5">
        <v>4.7</v>
      </c>
      <c r="D5" t="s">
        <v>867</v>
      </c>
    </row>
    <row r="6" spans="1:4">
      <c r="A6" t="s">
        <v>441</v>
      </c>
      <c r="B6" t="s">
        <v>868</v>
      </c>
      <c r="C6">
        <v>4.7</v>
      </c>
      <c r="D6" t="s">
        <v>867</v>
      </c>
    </row>
    <row r="7" spans="1:4">
      <c r="A7" t="s">
        <v>209</v>
      </c>
      <c r="B7" t="s">
        <v>868</v>
      </c>
      <c r="C7">
        <v>3.8</v>
      </c>
      <c r="D7" t="s">
        <v>869</v>
      </c>
    </row>
    <row r="8" spans="1:4">
      <c r="A8" t="s">
        <v>174</v>
      </c>
      <c r="B8" t="s">
        <v>873</v>
      </c>
      <c r="C8">
        <v>3.8</v>
      </c>
      <c r="D8" t="s">
        <v>871</v>
      </c>
    </row>
    <row r="9" spans="1:4">
      <c r="A9" t="s">
        <v>107</v>
      </c>
      <c r="B9" t="s">
        <v>873</v>
      </c>
      <c r="C9">
        <v>4.4000000000000004</v>
      </c>
      <c r="D9" t="s">
        <v>869</v>
      </c>
    </row>
    <row r="10" spans="1:4">
      <c r="A10" t="s">
        <v>66</v>
      </c>
      <c r="B10" t="s">
        <v>874</v>
      </c>
      <c r="C10">
        <v>4.0999999999999996</v>
      </c>
      <c r="D10" t="s">
        <v>871</v>
      </c>
    </row>
    <row r="11" spans="1:4">
      <c r="A11" t="s">
        <v>134</v>
      </c>
      <c r="B11" t="s">
        <v>875</v>
      </c>
      <c r="C11">
        <v>4.4000000000000004</v>
      </c>
      <c r="D11" t="s">
        <v>869</v>
      </c>
    </row>
    <row r="12" spans="1:4">
      <c r="A12" t="s">
        <v>237</v>
      </c>
      <c r="B12" t="s">
        <v>874</v>
      </c>
      <c r="C12">
        <v>4</v>
      </c>
      <c r="D12" t="s">
        <v>871</v>
      </c>
    </row>
    <row r="13" spans="1:4">
      <c r="A13" t="s">
        <v>90</v>
      </c>
      <c r="B13" t="s">
        <v>870</v>
      </c>
      <c r="C13">
        <v>4.3</v>
      </c>
      <c r="D13" t="s">
        <v>869</v>
      </c>
    </row>
    <row r="14" spans="1:4">
      <c r="A14" t="s">
        <v>493</v>
      </c>
      <c r="B14" t="s">
        <v>872</v>
      </c>
      <c r="C14">
        <v>4.7</v>
      </c>
      <c r="D14" t="s">
        <v>867</v>
      </c>
    </row>
    <row r="15" spans="1:4">
      <c r="A15" t="s">
        <v>303</v>
      </c>
      <c r="B15" t="s">
        <v>870</v>
      </c>
      <c r="C15">
        <v>3.8</v>
      </c>
      <c r="D15" t="s">
        <v>869</v>
      </c>
    </row>
    <row r="16" spans="1:4">
      <c r="A16" t="s">
        <v>103</v>
      </c>
      <c r="B16" t="s">
        <v>873</v>
      </c>
      <c r="C16">
        <v>3.6</v>
      </c>
      <c r="D16" t="s">
        <v>867</v>
      </c>
    </row>
    <row r="17" spans="1:4">
      <c r="A17" t="s">
        <v>389</v>
      </c>
      <c r="B17" t="s">
        <v>873</v>
      </c>
      <c r="C17">
        <v>4.9000000000000004</v>
      </c>
      <c r="D17" t="s">
        <v>869</v>
      </c>
    </row>
    <row r="18" spans="1:4">
      <c r="A18" t="s">
        <v>320</v>
      </c>
      <c r="B18" t="s">
        <v>875</v>
      </c>
      <c r="C18">
        <v>4</v>
      </c>
      <c r="D18" t="s">
        <v>867</v>
      </c>
    </row>
    <row r="19" spans="1:4">
      <c r="A19" t="s">
        <v>195</v>
      </c>
      <c r="B19" t="s">
        <v>876</v>
      </c>
      <c r="C19">
        <v>4.3</v>
      </c>
      <c r="D19" t="s">
        <v>869</v>
      </c>
    </row>
    <row r="20" spans="1:4">
      <c r="A20" t="s">
        <v>257</v>
      </c>
      <c r="B20" t="s">
        <v>866</v>
      </c>
      <c r="C20">
        <v>3.6</v>
      </c>
      <c r="D20" t="s">
        <v>871</v>
      </c>
    </row>
    <row r="21" spans="1:4">
      <c r="A21" t="s">
        <v>71</v>
      </c>
      <c r="B21" t="s">
        <v>872</v>
      </c>
      <c r="C21">
        <v>3.8</v>
      </c>
      <c r="D21" t="s">
        <v>869</v>
      </c>
    </row>
    <row r="22" spans="1:4">
      <c r="A22" t="s">
        <v>27</v>
      </c>
      <c r="B22" t="s">
        <v>873</v>
      </c>
      <c r="C22">
        <v>3.9</v>
      </c>
      <c r="D22" t="s">
        <v>867</v>
      </c>
    </row>
    <row r="23" spans="1:4">
      <c r="A23" t="s">
        <v>99</v>
      </c>
      <c r="B23" t="s">
        <v>872</v>
      </c>
      <c r="C23">
        <v>4.5</v>
      </c>
      <c r="D23" t="s">
        <v>869</v>
      </c>
    </row>
    <row r="24" spans="1:4">
      <c r="A24" t="s">
        <v>179</v>
      </c>
      <c r="B24" t="s">
        <v>866</v>
      </c>
      <c r="C24">
        <v>4.3</v>
      </c>
      <c r="D24" t="s">
        <v>869</v>
      </c>
    </row>
    <row r="25" spans="1:4">
      <c r="A25" t="s">
        <v>562</v>
      </c>
      <c r="B25" t="s">
        <v>875</v>
      </c>
      <c r="C25">
        <v>3.6</v>
      </c>
      <c r="D25" t="s">
        <v>869</v>
      </c>
    </row>
    <row r="26" spans="1:4">
      <c r="A26" t="s">
        <v>93</v>
      </c>
      <c r="B26" t="s">
        <v>875</v>
      </c>
      <c r="C26">
        <v>4.5</v>
      </c>
      <c r="D26" t="s">
        <v>869</v>
      </c>
    </row>
    <row r="27" spans="1:4">
      <c r="A27" t="s">
        <v>377</v>
      </c>
      <c r="B27" t="s">
        <v>874</v>
      </c>
      <c r="C27">
        <v>4.2</v>
      </c>
      <c r="D27" t="s">
        <v>867</v>
      </c>
    </row>
    <row r="28" spans="1:4">
      <c r="A28" t="s">
        <v>82</v>
      </c>
      <c r="B28" t="s">
        <v>875</v>
      </c>
      <c r="C28">
        <v>4.4000000000000004</v>
      </c>
      <c r="D28" t="s">
        <v>871</v>
      </c>
    </row>
    <row r="29" spans="1:4">
      <c r="A29" t="s">
        <v>348</v>
      </c>
      <c r="B29" t="s">
        <v>870</v>
      </c>
      <c r="C29">
        <v>4.9000000000000004</v>
      </c>
      <c r="D29" t="s">
        <v>867</v>
      </c>
    </row>
    <row r="30" spans="1:4">
      <c r="A30" t="s">
        <v>159</v>
      </c>
      <c r="B30" t="s">
        <v>875</v>
      </c>
      <c r="C30">
        <v>3.6</v>
      </c>
      <c r="D30" t="s">
        <v>871</v>
      </c>
    </row>
    <row r="31" spans="1:4">
      <c r="A31" t="s">
        <v>220</v>
      </c>
      <c r="B31" t="s">
        <v>874</v>
      </c>
      <c r="C31">
        <v>3.7</v>
      </c>
      <c r="D31" t="s">
        <v>871</v>
      </c>
    </row>
    <row r="32" spans="1:4">
      <c r="A32" t="s">
        <v>124</v>
      </c>
      <c r="B32" t="s">
        <v>870</v>
      </c>
      <c r="C32">
        <v>4.3</v>
      </c>
      <c r="D32" t="s">
        <v>869</v>
      </c>
    </row>
    <row r="33" spans="1:4">
      <c r="A33" t="s">
        <v>44</v>
      </c>
      <c r="B33" t="s">
        <v>870</v>
      </c>
      <c r="C33">
        <v>3.5</v>
      </c>
      <c r="D33" t="s">
        <v>869</v>
      </c>
    </row>
    <row r="34" spans="1:4">
      <c r="A34" t="s">
        <v>128</v>
      </c>
      <c r="B34" t="s">
        <v>874</v>
      </c>
      <c r="C34">
        <v>4.4000000000000004</v>
      </c>
      <c r="D34" t="s">
        <v>869</v>
      </c>
    </row>
    <row r="35" spans="1:4">
      <c r="A35" t="s">
        <v>131</v>
      </c>
      <c r="B35" t="s">
        <v>876</v>
      </c>
      <c r="C35">
        <v>3.6</v>
      </c>
      <c r="D35" t="s">
        <v>867</v>
      </c>
    </row>
    <row r="36" spans="1:4">
      <c r="A36" t="s">
        <v>190</v>
      </c>
      <c r="B36" t="s">
        <v>875</v>
      </c>
      <c r="C36">
        <v>4.3</v>
      </c>
      <c r="D36" t="s">
        <v>869</v>
      </c>
    </row>
    <row r="37" spans="1:4">
      <c r="A37" t="s">
        <v>137</v>
      </c>
      <c r="B37" t="s">
        <v>870</v>
      </c>
      <c r="C37">
        <v>4.0999999999999996</v>
      </c>
      <c r="D37" t="s">
        <v>867</v>
      </c>
    </row>
    <row r="38" spans="1:4">
      <c r="A38" t="s">
        <v>55</v>
      </c>
      <c r="B38" t="s">
        <v>876</v>
      </c>
      <c r="C38">
        <v>4.5</v>
      </c>
      <c r="D38" t="s">
        <v>869</v>
      </c>
    </row>
    <row r="39" spans="1:4">
      <c r="A39" t="s">
        <v>78</v>
      </c>
      <c r="B39" t="s">
        <v>876</v>
      </c>
      <c r="C39">
        <v>3.9</v>
      </c>
      <c r="D39" t="s">
        <v>869</v>
      </c>
    </row>
    <row r="40" spans="1:4">
      <c r="A40" t="s">
        <v>116</v>
      </c>
      <c r="B40" t="s">
        <v>876</v>
      </c>
      <c r="C40">
        <v>4.5999999999999996</v>
      </c>
      <c r="D40" t="s">
        <v>867</v>
      </c>
    </row>
    <row r="41" spans="1:4">
      <c r="A41" t="s">
        <v>225</v>
      </c>
      <c r="B41" t="s">
        <v>872</v>
      </c>
      <c r="C41">
        <v>4.5999999999999996</v>
      </c>
      <c r="D41" t="s">
        <v>869</v>
      </c>
    </row>
    <row r="42" spans="1:4">
      <c r="A42" t="s">
        <v>141</v>
      </c>
      <c r="B42" t="s">
        <v>876</v>
      </c>
      <c r="C42">
        <v>4.4000000000000004</v>
      </c>
      <c r="D42" t="s">
        <v>867</v>
      </c>
    </row>
    <row r="43" spans="1:4">
      <c r="A43" t="s">
        <v>187</v>
      </c>
      <c r="B43" t="s">
        <v>876</v>
      </c>
      <c r="C43">
        <v>4.2</v>
      </c>
      <c r="D43" t="s">
        <v>867</v>
      </c>
    </row>
    <row r="44" spans="1:4">
      <c r="A44" t="s">
        <v>165</v>
      </c>
      <c r="B44" t="s">
        <v>876</v>
      </c>
      <c r="C44">
        <v>3.5</v>
      </c>
      <c r="D44" t="s">
        <v>867</v>
      </c>
    </row>
    <row r="45" spans="1:4">
      <c r="A45" t="s">
        <v>217</v>
      </c>
      <c r="B45" t="s">
        <v>873</v>
      </c>
      <c r="C45">
        <v>4.4000000000000004</v>
      </c>
      <c r="D45" t="s">
        <v>867</v>
      </c>
    </row>
    <row r="46" spans="1:4">
      <c r="A46" t="s">
        <v>242</v>
      </c>
      <c r="B46" t="s">
        <v>873</v>
      </c>
      <c r="C46">
        <v>4.7</v>
      </c>
      <c r="D46" t="s">
        <v>869</v>
      </c>
    </row>
    <row r="47" spans="1:4">
      <c r="A47" t="s">
        <v>149</v>
      </c>
      <c r="B47" t="s">
        <v>870</v>
      </c>
      <c r="C47">
        <v>4.3</v>
      </c>
      <c r="D47" t="s">
        <v>871</v>
      </c>
    </row>
    <row r="48" spans="1:4">
      <c r="A48" t="s">
        <v>534</v>
      </c>
      <c r="B48" t="s">
        <v>874</v>
      </c>
      <c r="C48">
        <v>4.5</v>
      </c>
      <c r="D48" t="s">
        <v>871</v>
      </c>
    </row>
    <row r="49" spans="1:4">
      <c r="A49" t="s">
        <v>422</v>
      </c>
      <c r="B49" t="s">
        <v>875</v>
      </c>
      <c r="C49">
        <v>3.7</v>
      </c>
      <c r="D49" t="s">
        <v>869</v>
      </c>
    </row>
    <row r="50" spans="1:4">
      <c r="A50" t="s">
        <v>49</v>
      </c>
      <c r="B50" t="s">
        <v>876</v>
      </c>
      <c r="C50">
        <v>3.7</v>
      </c>
      <c r="D50" t="s">
        <v>869</v>
      </c>
    </row>
    <row r="51" spans="1:4">
      <c r="A51" t="s">
        <v>579</v>
      </c>
      <c r="B51" t="s">
        <v>876</v>
      </c>
      <c r="C51">
        <v>3.9</v>
      </c>
      <c r="D51" t="s">
        <v>867</v>
      </c>
    </row>
    <row r="52" spans="1:4">
      <c r="A52" t="s">
        <v>162</v>
      </c>
      <c r="B52" t="s">
        <v>875</v>
      </c>
      <c r="C52">
        <v>3.7</v>
      </c>
      <c r="D52" t="s">
        <v>871</v>
      </c>
    </row>
    <row r="53" spans="1:4">
      <c r="A53" t="s">
        <v>172</v>
      </c>
      <c r="B53" t="s">
        <v>873</v>
      </c>
      <c r="C53">
        <v>4.7</v>
      </c>
      <c r="D53" t="s">
        <v>871</v>
      </c>
    </row>
    <row r="54" spans="1:4">
      <c r="A54" t="s">
        <v>298</v>
      </c>
      <c r="B54" t="s">
        <v>872</v>
      </c>
      <c r="C54">
        <v>4.0999999999999996</v>
      </c>
      <c r="D54" t="s">
        <v>867</v>
      </c>
    </row>
    <row r="55" spans="1:4">
      <c r="A55" t="s">
        <v>86</v>
      </c>
      <c r="B55" t="s">
        <v>866</v>
      </c>
      <c r="C55">
        <v>3.7</v>
      </c>
      <c r="D55" t="s">
        <v>867</v>
      </c>
    </row>
    <row r="56" spans="1:4">
      <c r="A56" t="s">
        <v>266</v>
      </c>
      <c r="B56" t="s">
        <v>872</v>
      </c>
      <c r="C56">
        <v>4</v>
      </c>
      <c r="D56" t="s">
        <v>871</v>
      </c>
    </row>
    <row r="57" spans="1:4">
      <c r="A57" t="s">
        <v>19</v>
      </c>
      <c r="B57" t="s">
        <v>872</v>
      </c>
      <c r="C57">
        <v>3.6</v>
      </c>
      <c r="D57" t="s">
        <v>869</v>
      </c>
    </row>
    <row r="58" spans="1:4">
      <c r="A58" t="s">
        <v>96</v>
      </c>
      <c r="B58" t="s">
        <v>873</v>
      </c>
      <c r="C58">
        <v>4.5</v>
      </c>
      <c r="D58" t="s">
        <v>871</v>
      </c>
    </row>
    <row r="59" spans="1:4">
      <c r="A59" t="s">
        <v>114</v>
      </c>
      <c r="B59" t="s">
        <v>872</v>
      </c>
      <c r="C59">
        <v>4.2</v>
      </c>
      <c r="D59" t="s">
        <v>871</v>
      </c>
    </row>
    <row r="60" spans="1:4">
      <c r="A60" t="s">
        <v>39</v>
      </c>
      <c r="B60" t="s">
        <v>866</v>
      </c>
      <c r="C60">
        <v>3.9</v>
      </c>
      <c r="D60" t="s">
        <v>869</v>
      </c>
    </row>
    <row r="61" spans="1:4">
      <c r="A61" t="s">
        <v>205</v>
      </c>
      <c r="B61" t="s">
        <v>875</v>
      </c>
      <c r="C61">
        <v>4</v>
      </c>
      <c r="D61" t="s">
        <v>871</v>
      </c>
    </row>
    <row r="62" spans="1:4">
      <c r="A62" t="s">
        <v>539</v>
      </c>
      <c r="B62" t="s">
        <v>876</v>
      </c>
      <c r="C62">
        <v>4.2</v>
      </c>
      <c r="D62" t="s">
        <v>869</v>
      </c>
    </row>
    <row r="63" spans="1:4">
      <c r="A63" t="s">
        <v>368</v>
      </c>
      <c r="B63" t="s">
        <v>875</v>
      </c>
      <c r="C63">
        <v>4.2</v>
      </c>
      <c r="D63" t="s">
        <v>869</v>
      </c>
    </row>
    <row r="64" spans="1:4">
      <c r="A64" t="s">
        <v>184</v>
      </c>
      <c r="B64" t="s">
        <v>875</v>
      </c>
      <c r="C64">
        <v>3.8</v>
      </c>
      <c r="D64" t="s">
        <v>871</v>
      </c>
    </row>
    <row r="65" spans="1:4">
      <c r="A65" t="s">
        <v>75</v>
      </c>
      <c r="B65" t="s">
        <v>868</v>
      </c>
      <c r="C65">
        <v>4.3</v>
      </c>
      <c r="D65" t="s">
        <v>867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E9" sqref="E9"/>
    </sheetView>
  </sheetViews>
  <sheetFormatPr defaultColWidth="18.5546875" defaultRowHeight="14.4"/>
  <sheetData>
    <row r="1" spans="1:5">
      <c r="A1" s="1" t="s">
        <v>7</v>
      </c>
      <c r="B1" s="1" t="s">
        <v>29</v>
      </c>
      <c r="C1" s="1" t="s">
        <v>21</v>
      </c>
      <c r="D1" s="1" t="s">
        <v>56</v>
      </c>
      <c r="E1" s="1" t="s">
        <v>34</v>
      </c>
    </row>
    <row r="2" spans="1:5">
      <c r="A2" t="s">
        <v>877</v>
      </c>
      <c r="B2">
        <v>800000</v>
      </c>
      <c r="C2">
        <v>750000</v>
      </c>
      <c r="D2">
        <v>600000</v>
      </c>
      <c r="E2">
        <v>650000</v>
      </c>
    </row>
    <row r="3" spans="1:5">
      <c r="A3" t="s">
        <v>937</v>
      </c>
      <c r="B3">
        <f>SUMIFS(TblSales[Total Sales],TblSales[Region], "North",TblSales[MonthNum],1)</f>
        <v>1332553.5999999999</v>
      </c>
      <c r="C3">
        <f>SUMIFS(TblSales[Total Sales],TblSales[Region], "South", TblSales[MonthNum],1)</f>
        <v>1111102.99</v>
      </c>
      <c r="D3">
        <f>SUMIFS(TblSales[Total Sales],TblSales[Region], "East",TblSales[MonthNum],1)</f>
        <v>1199853.67</v>
      </c>
      <c r="E3">
        <f>SUMIFS(TblSales[Total Sales],TblSales[Region],"West",TblSales[MonthNum],1)</f>
        <v>908109.65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heetViews>
  <sheetFormatPr defaultRowHeight="14.4"/>
  <cols>
    <col min="1" max="4" width="25" customWidth="1"/>
  </cols>
  <sheetData>
    <row r="1" spans="1:4">
      <c r="A1" s="2" t="s">
        <v>878</v>
      </c>
      <c r="B1" s="2" t="s">
        <v>879</v>
      </c>
      <c r="C1" s="2" t="s">
        <v>880</v>
      </c>
      <c r="D1" s="2" t="s">
        <v>881</v>
      </c>
    </row>
    <row r="2" spans="1:4">
      <c r="A2" t="s">
        <v>882</v>
      </c>
      <c r="B2" t="s">
        <v>883</v>
      </c>
      <c r="C2">
        <f>SUM(Raw_Data!L2:L501)</f>
        <v>42879431.810000017</v>
      </c>
      <c r="D2" t="s">
        <v>884</v>
      </c>
    </row>
    <row r="3" spans="1:4">
      <c r="A3" t="s">
        <v>882</v>
      </c>
      <c r="B3" t="s">
        <v>885</v>
      </c>
      <c r="C3">
        <f>AVERAGE(Raw_Data!N2:N501)</f>
        <v>17400.486879999997</v>
      </c>
      <c r="D3" t="s">
        <v>886</v>
      </c>
    </row>
    <row r="4" spans="1:4">
      <c r="A4" t="s">
        <v>887</v>
      </c>
      <c r="B4" t="s">
        <v>888</v>
      </c>
      <c r="C4" t="str">
        <f>IF(Raw_Data!N2&gt;0,"Profit","Loss")</f>
        <v>Profit</v>
      </c>
      <c r="D4" t="s">
        <v>889</v>
      </c>
    </row>
    <row r="5" spans="1:4">
      <c r="A5" t="s">
        <v>887</v>
      </c>
      <c r="B5" t="s">
        <v>890</v>
      </c>
      <c r="C5">
        <f>SUMIF(Raw_Data!H:H,"North",Raw_Data!L:L)</f>
        <v>10672916.75</v>
      </c>
      <c r="D5" t="s">
        <v>891</v>
      </c>
    </row>
    <row r="6" spans="1:4">
      <c r="A6" t="s">
        <v>887</v>
      </c>
      <c r="B6" t="s">
        <v>892</v>
      </c>
      <c r="C6">
        <f>COUNTIF(Raw_Data!H:H,"South")</f>
        <v>126</v>
      </c>
      <c r="D6" t="s">
        <v>893</v>
      </c>
    </row>
    <row r="7" spans="1:4">
      <c r="A7" t="s">
        <v>887</v>
      </c>
      <c r="B7" t="s">
        <v>894</v>
      </c>
      <c r="C7">
        <f>SUMIFS(Raw_Data!L:L,Raw_Data!H:H,"West",Raw_Data!D:D,"Electronics")</f>
        <v>2527296.5999999996</v>
      </c>
      <c r="D7" t="s">
        <v>895</v>
      </c>
    </row>
    <row r="8" spans="1:4">
      <c r="A8" t="s">
        <v>896</v>
      </c>
      <c r="B8" t="s">
        <v>897</v>
      </c>
      <c r="C8" t="str">
        <f>VLOOKUP(Raw_Data!F2,Product_Master!A:D,2,FALSE)</f>
        <v>LG Electronics</v>
      </c>
      <c r="D8" t="s">
        <v>898</v>
      </c>
    </row>
    <row r="9" spans="1:4">
      <c r="A9" t="s">
        <v>896</v>
      </c>
      <c r="B9" t="s">
        <v>899</v>
      </c>
      <c r="C9">
        <f>HLOOKUP(Raw_Data!H2,Targets!A1:E2,2,FALSE)</f>
        <v>750000</v>
      </c>
      <c r="D9" t="s">
        <v>900</v>
      </c>
    </row>
    <row r="10" spans="1:4">
      <c r="A10" t="s">
        <v>896</v>
      </c>
      <c r="B10" t="s">
        <v>901</v>
      </c>
      <c r="C10" t="str">
        <f>INDEX(Raw_Data!H:H,MATCH(MAX(Raw_Data!N:N),Raw_Data!N:N,0))</f>
        <v>West</v>
      </c>
      <c r="D10" t="s">
        <v>902</v>
      </c>
    </row>
    <row r="11" spans="1:4">
      <c r="A11" t="s">
        <v>903</v>
      </c>
      <c r="B11" t="s">
        <v>904</v>
      </c>
      <c r="C11" t="str">
        <f>CONCATENATE(Raw_Data!C2," - ",Raw_Data!F2)</f>
        <v>Aman Tiwari - Bosch 7kg</v>
      </c>
      <c r="D11" t="s">
        <v>905</v>
      </c>
    </row>
    <row r="12" spans="1:4">
      <c r="A12" t="s">
        <v>903</v>
      </c>
      <c r="B12" t="s">
        <v>906</v>
      </c>
      <c r="C12" t="str">
        <f>PROPER(Raw_Data!C2)</f>
        <v>Aman Tiwari</v>
      </c>
      <c r="D12" t="s">
        <v>907</v>
      </c>
    </row>
    <row r="13" spans="1:4">
      <c r="A13" t="s">
        <v>1</v>
      </c>
      <c r="B13" t="s">
        <v>908</v>
      </c>
      <c r="C13">
        <f>MONTH(Raw_Data!B2)</f>
        <v>4</v>
      </c>
      <c r="D13" t="s">
        <v>909</v>
      </c>
    </row>
    <row r="14" spans="1:4">
      <c r="A14" t="s">
        <v>1</v>
      </c>
      <c r="B14" t="s">
        <v>910</v>
      </c>
      <c r="C14">
        <f>YEAR(Raw_Data!B2)</f>
        <v>2025</v>
      </c>
      <c r="D14" t="s">
        <v>911</v>
      </c>
    </row>
    <row r="15" spans="1:4">
      <c r="A15" t="s">
        <v>912</v>
      </c>
      <c r="B15" t="s">
        <v>913</v>
      </c>
      <c r="C15" t="s">
        <v>914</v>
      </c>
      <c r="D15" t="s">
        <v>915</v>
      </c>
    </row>
    <row r="16" spans="1:4">
      <c r="A16" t="s">
        <v>916</v>
      </c>
      <c r="B16" t="s">
        <v>917</v>
      </c>
      <c r="C16" t="s">
        <v>918</v>
      </c>
      <c r="D16" t="s">
        <v>919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G9" sqref="G9"/>
    </sheetView>
  </sheetViews>
  <sheetFormatPr defaultRowHeight="14.4"/>
  <cols>
    <col min="1" max="1" width="14" customWidth="1"/>
    <col min="2" max="2" width="12.33203125" customWidth="1"/>
    <col min="3" max="3" width="11.88671875" customWidth="1"/>
    <col min="4" max="4" width="19.77734375" customWidth="1"/>
    <col min="5" max="5" width="21.88671875" customWidth="1"/>
    <col min="6" max="6" width="16.21875" customWidth="1"/>
  </cols>
  <sheetData>
    <row r="1" spans="1:6">
      <c r="A1" s="6" t="s">
        <v>11</v>
      </c>
      <c r="B1" s="6" t="s">
        <v>923</v>
      </c>
      <c r="C1" s="6" t="s">
        <v>930</v>
      </c>
      <c r="D1" s="6" t="s">
        <v>931</v>
      </c>
      <c r="E1" s="6" t="s">
        <v>932</v>
      </c>
      <c r="F1" s="6" t="s">
        <v>933</v>
      </c>
    </row>
    <row r="2" spans="1:6">
      <c r="A2" s="9">
        <f>SUM(TblSales[Total Sales])</f>
        <v>42879431.810000017</v>
      </c>
      <c r="B2">
        <f>SUM(TblSales[Profit])</f>
        <v>8700243.4399999976</v>
      </c>
      <c r="C2">
        <f>COUNTA(TblSales[Order ID])</f>
        <v>500</v>
      </c>
      <c r="D2">
        <f>SUM(TblSales[Total Sales])</f>
        <v>42879431.810000017</v>
      </c>
      <c r="E2">
        <f>AVERAGE(TblSales[Profit]/TblSales[Total Sales])</f>
        <v>0.18935561546319152</v>
      </c>
      <c r="F2">
        <f>COUNTIF(TblSales[Profit], "0")</f>
        <v>0</v>
      </c>
    </row>
    <row r="8" spans="1:6">
      <c r="C8">
        <f>SUM(Analysis!M507:M511)</f>
        <v>0</v>
      </c>
    </row>
    <row r="13" spans="1:6">
      <c r="C13">
        <f>SUM(Table2[Total Sales])</f>
        <v>200</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Q88"/>
  <sheetViews>
    <sheetView tabSelected="1" workbookViewId="0">
      <selection activeCell="A2" sqref="A2:AQ88"/>
    </sheetView>
  </sheetViews>
  <sheetFormatPr defaultRowHeight="14.4"/>
  <sheetData>
    <row r="2" spans="1:4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row>
    <row r="3" spans="1:4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row>
    <row r="4" spans="1:4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row>
    <row r="5" spans="1:4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row>
    <row r="6" spans="1:4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row>
    <row r="7" spans="1:4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row>
    <row r="8" spans="1:4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row>
    <row r="9" spans="1:4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row>
    <row r="10" spans="1:4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row>
    <row r="11" spans="1:4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row>
    <row r="12" spans="1:4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row>
    <row r="13" spans="1:4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row>
    <row r="14" spans="1:4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row>
    <row r="15" spans="1:4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row>
    <row r="16" spans="1:4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row>
    <row r="17" spans="1:4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row>
    <row r="18" spans="1:4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row>
    <row r="19" spans="1:4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row>
    <row r="20" spans="1:4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row>
    <row r="21" spans="1:4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row>
    <row r="22" spans="1:4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row>
    <row r="23" spans="1:4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row>
    <row r="24" spans="1:4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row>
    <row r="25" spans="1:4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row>
    <row r="26" spans="1:4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row>
    <row r="27" spans="1:4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row>
    <row r="28" spans="1:4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row>
    <row r="29" spans="1:4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row>
    <row r="30" spans="1:4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row>
    <row r="31" spans="1:4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row>
    <row r="32" spans="1:4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row>
    <row r="33" spans="1:4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row>
    <row r="34" spans="1:4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row>
    <row r="35" spans="1:4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row>
    <row r="36" spans="1:4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row>
    <row r="37" spans="1:4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row>
    <row r="38" spans="1:4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row>
    <row r="39" spans="1:4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row>
    <row r="40" spans="1:4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row>
    <row r="41" spans="1:4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row>
    <row r="42" spans="1:4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row>
    <row r="43" spans="1: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row>
    <row r="44" spans="1:4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row>
    <row r="45" spans="1:4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row>
    <row r="46" spans="1:4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row>
    <row r="47" spans="1:4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row>
    <row r="48" spans="1:4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row>
    <row r="49" spans="1:4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row>
    <row r="50" spans="1:4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row>
    <row r="51" spans="1:4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row>
    <row r="52" spans="1:4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row>
    <row r="53" spans="1:4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row>
    <row r="54" spans="1:4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row>
    <row r="55" spans="1:4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row>
    <row r="56" spans="1:4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row>
    <row r="57" spans="1:4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row>
    <row r="58" spans="1:4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row>
    <row r="59" spans="1:4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row>
    <row r="60" spans="1:4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row>
    <row r="61" spans="1:4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row>
    <row r="62" spans="1:4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row>
    <row r="63" spans="1:4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row>
    <row r="64" spans="1:4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row>
    <row r="65" spans="1:4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row>
    <row r="66" spans="1:4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row>
    <row r="67" spans="1:4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row>
    <row r="68" spans="1:4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row>
    <row r="69" spans="1:4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row>
    <row r="70" spans="1:4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row>
    <row r="71" spans="1:4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row>
    <row r="72" spans="1:4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row>
    <row r="73" spans="1:4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row>
    <row r="74" spans="1:4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row>
    <row r="75" spans="1:4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row>
    <row r="76" spans="1:4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row>
    <row r="77" spans="1:4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row>
    <row r="78" spans="1:4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row>
    <row r="79" spans="1:4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row>
    <row r="80" spans="1:4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row>
    <row r="81" spans="1:4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row>
    <row r="82" spans="1:4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row>
    <row r="83" spans="1:4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row>
    <row r="84" spans="1:4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row>
    <row r="85" spans="1:4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row>
    <row r="86" spans="1:4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row>
    <row r="87" spans="1:4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row>
    <row r="88" spans="1:4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row>
  </sheetData>
  <mergeCells count="1">
    <mergeCell ref="A2:AQ8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 By Region</vt:lpstr>
      <vt:lpstr>Monthly Sales Trend</vt:lpstr>
      <vt:lpstr>Top 5 Product By profit</vt:lpstr>
      <vt:lpstr>Sales Person Performance</vt:lpstr>
      <vt:lpstr>Category Wise Profit &amp; Discount</vt:lpstr>
      <vt:lpstr>Raw_Data</vt:lpstr>
      <vt:lpstr>Product_Master</vt:lpstr>
      <vt:lpstr>Targets</vt:lpstr>
      <vt:lpstr>Formula_Guide</vt:lpstr>
      <vt:lpstr>Analysis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2025-11-10T16:29:32Z</dcterms:created>
  <dcterms:modified xsi:type="dcterms:W3CDTF">2025-11-11T07:05:18Z</dcterms:modified>
</cp:coreProperties>
</file>